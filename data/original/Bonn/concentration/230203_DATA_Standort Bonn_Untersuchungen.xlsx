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Auswertung" sheetId="2" state="visible" r:id="rId3"/>
    <sheet name="Tabelle3" sheetId="3" state="visible" r:id="rId4"/>
  </sheets>
  <definedNames>
    <definedName function="false" hidden="false" localSheetId="0" name="_xlnm.Print_Area" vbProcedure="false">Data!$D$44:$X$98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<sst xmlns="http://schemas.openxmlformats.org/spreadsheetml/2006/main" count="1556" uniqueCount="85">
  <si>
    <t xml:space="preserve">Name Kläranlage</t>
  </si>
  <si>
    <t xml:space="preserve">Datum Probennahme
Beginn [DD.MM.YYYY]</t>
  </si>
  <si>
    <t xml:space="preserve">Art der Probenahme</t>
  </si>
  <si>
    <t xml:space="preserve">Probenversand [DD.MM.YYYY]</t>
  </si>
  <si>
    <t xml:space="preserve">PN Stelle</t>
  </si>
  <si>
    <t xml:space="preserve">Abkürzung PN Stelle</t>
  </si>
  <si>
    <t xml:space="preserve">Plattformnummer</t>
  </si>
  <si>
    <t xml:space="preserve">Uhrzeit [hh:mm]</t>
  </si>
  <si>
    <t xml:space="preserve">Probenehmer</t>
  </si>
  <si>
    <t xml:space="preserve">Gesamtvolumen [L]</t>
  </si>
  <si>
    <t xml:space="preserve">Wasser-temperatur [°C]</t>
  </si>
  <si>
    <t xml:space="preserve">Lufttemp. Laut kachelmanwetter [°C]</t>
  </si>
  <si>
    <t xml:space="preserve">Leitfähigkeit des Wassers [µS/cm]</t>
  </si>
  <si>
    <t xml:space="preserve">pH Wert des Wassers</t>
  </si>
  <si>
    <t xml:space="preserve">Volumenstrom [m^3/d]</t>
  </si>
  <si>
    <t xml:space="preserve">Mittlerer Durchfluss
[l/s]</t>
  </si>
  <si>
    <t xml:space="preserve">Wetterschlüssel</t>
  </si>
  <si>
    <t xml:space="preserve">RNA </t>
  </si>
  <si>
    <t xml:space="preserve">SARS-CoV-2 N1</t>
  </si>
  <si>
    <t xml:space="preserve">SARS-CoV-2 N2 </t>
  </si>
  <si>
    <t xml:space="preserve">PMMoV </t>
  </si>
  <si>
    <t xml:space="preserve">Bemerkung</t>
  </si>
  <si>
    <t xml:space="preserve">Tagesinzidenz
Bonn</t>
  </si>
  <si>
    <t xml:space="preserve">relatives SARS-CoV-2 N1 signal</t>
  </si>
  <si>
    <t xml:space="preserve">relatives SARS-CoV-2 N2 signal</t>
  </si>
  <si>
    <t xml:space="preserve">[ng/µl]</t>
  </si>
  <si>
    <t xml:space="preserve">[GU/L ]</t>
  </si>
  <si>
    <t xml:space="preserve">[GU/mL ]</t>
  </si>
  <si>
    <t xml:space="preserve">[GU/L]</t>
  </si>
  <si>
    <t xml:space="preserve">Salierweg Bonn</t>
  </si>
  <si>
    <t xml:space="preserve">24h-Mischprobe</t>
  </si>
  <si>
    <t xml:space="preserve">Zulauf Nord</t>
  </si>
  <si>
    <t xml:space="preserve">KZN</t>
  </si>
  <si>
    <t xml:space="preserve">Mauritz Jänicke</t>
  </si>
  <si>
    <t xml:space="preserve">trocken</t>
  </si>
  <si>
    <t xml:space="preserve">Zulauf Süd</t>
  </si>
  <si>
    <t xml:space="preserve">KZS</t>
  </si>
  <si>
    <t xml:space="preserve">Sonne/trocken</t>
  </si>
  <si>
    <t xml:space="preserve">Verena Leiße</t>
  </si>
  <si>
    <t xml:space="preserve">Tim Rickert</t>
  </si>
  <si>
    <t xml:space="preserve">regnerisch</t>
  </si>
  <si>
    <t xml:space="preserve">sonnig</t>
  </si>
  <si>
    <t xml:space="preserve">3x Nord beschriftet</t>
  </si>
  <si>
    <t xml:space="preserve">makroskop. unterschieden</t>
  </si>
  <si>
    <t xml:space="preserve">schmutzige Pr. KA-Eindicker defekt</t>
  </si>
  <si>
    <t xml:space="preserve">-</t>
  </si>
  <si>
    <t xml:space="preserve">WDH</t>
  </si>
  <si>
    <t xml:space="preserve">0,8/ 3,9</t>
  </si>
  <si>
    <t xml:space="preserve">am 19.5. aus eingefrorener</t>
  </si>
  <si>
    <t xml:space="preserve"> -</t>
  </si>
  <si>
    <t xml:space="preserve">0,4/ 1,0</t>
  </si>
  <si>
    <t xml:space="preserve">PEG-Fällung nochmal RNA Extraktion</t>
  </si>
  <si>
    <t xml:space="preserve">regnerisch Montag</t>
  </si>
  <si>
    <t xml:space="preserve">Starkregen</t>
  </si>
  <si>
    <t xml:space="preserve">Misch Nord/Süd</t>
  </si>
  <si>
    <t xml:space="preserve">KZS/KZN</t>
  </si>
  <si>
    <t xml:space="preserve">Wartung Nordzulauf</t>
  </si>
  <si>
    <t xml:space="preserve"> starker Niederschlag</t>
  </si>
  <si>
    <t xml:space="preserve">Wartung Nordzulauf/ WIEDERHOLUNG qPCR</t>
  </si>
  <si>
    <t xml:space="preserve">leichter Regen</t>
  </si>
  <si>
    <t xml:space="preserve">Regen</t>
  </si>
  <si>
    <t xml:space="preserve">Inhibition 1/4 verdünnt WDH</t>
  </si>
  <si>
    <t xml:space="preserve">Rickert</t>
  </si>
  <si>
    <t xml:space="preserve">k.a</t>
  </si>
  <si>
    <t xml:space="preserve">Stichprobe 05.10. morgens:
 PN-Flasche runtergefallen</t>
  </si>
  <si>
    <t xml:space="preserve">nachtragen</t>
  </si>
  <si>
    <t xml:space="preserve">Stromausfall d.h. kein pH und LF</t>
  </si>
  <si>
    <t xml:space="preserve">V. Leiße</t>
  </si>
  <si>
    <t xml:space="preserve">Inhibition 1/4 verdünnt im neuen Jahr</t>
  </si>
  <si>
    <t xml:space="preserve"> </t>
  </si>
  <si>
    <t xml:space="preserve">H. Hering</t>
  </si>
  <si>
    <t xml:space="preserve">Jänecke</t>
  </si>
  <si>
    <t xml:space="preserve">Leiße</t>
  </si>
  <si>
    <t xml:space="preserve">Schnee/Regen</t>
  </si>
  <si>
    <t xml:space="preserve">Beide Proben waren mit Nord beschriftet</t>
  </si>
  <si>
    <t xml:space="preserve">schmutziger als Süd bestimmt!!</t>
  </si>
  <si>
    <t xml:space="preserve">Jänicke</t>
  </si>
  <si>
    <t xml:space="preserve">RNA ng/µl</t>
  </si>
  <si>
    <t xml:space="preserve">
SARS-CoV-2 N1 [GU/L ]</t>
  </si>
  <si>
    <t xml:space="preserve">
SARS-CoV-2 N2 [GU/L ]</t>
  </si>
  <si>
    <t xml:space="preserve">
PMMoV [GU/L ]</t>
  </si>
  <si>
    <t xml:space="preserve">SARS-CoV-2 N1 (Zulauf Nord)</t>
  </si>
  <si>
    <t xml:space="preserve">SARS-CoV-2 N2  (Zulauf Nord)</t>
  </si>
  <si>
    <t xml:space="preserve">SARS-CoV-2 N1 (Zulauf Süd)</t>
  </si>
  <si>
    <t xml:space="preserve">SARS-CoV-2 N2  (Zulauf Süd)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</si>
</sst>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yy"/>
    <numFmt numFmtId="166" formatCode="h:mm;@"/>
    <numFmt numFmtId="167" formatCode="0.00"/>
    <numFmt numFmtId="168" formatCode="#,##0"/>
    <numFmt numFmtId="169" formatCode="0.00E+00"/>
    <numFmt numFmtId="170" formatCode="#,##0.00"/>
    <numFmt numFmtId="171" formatCode="0.0"/>
    <numFmt numFmtId="172" formatCode="@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sz val="11"/>
      <color rgb="FF00B05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DBEEF4"/>
      </patternFill>
    </fill>
    <fill>
      <patternFill patternType="solid">
        <fgColor rgb="FFB9CDE5"/>
        <bgColor rgb="FFD9D9D9"/>
      </patternFill>
    </fill>
    <fill>
      <patternFill patternType="solid">
        <fgColor rgb="FFDBEEF4"/>
        <bgColor rgb="FFEEECE1"/>
      </patternFill>
    </fill>
    <fill>
      <patternFill patternType="solid">
        <fgColor rgb="FFFFFFFF"/>
        <bgColor rgb="FFEEECE1"/>
      </patternFill>
    </fill>
    <fill>
      <patternFill patternType="solid">
        <fgColor rgb="FFFF0000"/>
        <bgColor rgb="FF993300"/>
      </patternFill>
    </fill>
    <fill>
      <patternFill patternType="solid">
        <fgColor rgb="FFD9D9D9"/>
        <bgColor rgb="FFDB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EEECE1"/>
      <rgbColor rgb="FFDBEEF4"/>
      <rgbColor rgb="FF660066"/>
      <rgbColor rgb="FFD99694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Arial"/>
              </a:rPr>
              <a:t>Zulauf Nord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864974345126"/>
          <c:y val="0.120210863221312"/>
          <c:w val="0.681508236564947"/>
          <c:h val="0.70083780476325"/>
        </c:manualLayout>
      </c:layout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SARS-CoV-2 N1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Auswertung!$D$32:$D$51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Auswertung!$O$2:$O$21</c:f>
              <c:numCache>
                <c:formatCode>General</c:formatCode>
                <c:ptCount val="20"/>
                <c:pt idx="0">
                  <c:v>0</c:v>
                </c:pt>
                <c:pt idx="1">
                  <c:v>69802.0873955279</c:v>
                </c:pt>
                <c:pt idx="2">
                  <c:v>71179.1496998459</c:v>
                </c:pt>
                <c:pt idx="3">
                  <c:v>72760.8442075521</c:v>
                </c:pt>
                <c:pt idx="4">
                  <c:v>56579.7815346081</c:v>
                </c:pt>
                <c:pt idx="5">
                  <c:v>109799.433281636</c:v>
                </c:pt>
                <c:pt idx="6">
                  <c:v>65029.8141446619</c:v>
                </c:pt>
                <c:pt idx="7">
                  <c:v>75016.1172218168</c:v>
                </c:pt>
                <c:pt idx="8">
                  <c:v>47283.6478921963</c:v>
                </c:pt>
                <c:pt idx="9">
                  <c:v>50877.6941416524</c:v>
                </c:pt>
                <c:pt idx="10">
                  <c:v>66231.8100708504</c:v>
                </c:pt>
                <c:pt idx="11">
                  <c:v>119450.785764984</c:v>
                </c:pt>
                <c:pt idx="12">
                  <c:v>23317.5155439927</c:v>
                </c:pt>
                <c:pt idx="13">
                  <c:v>64319.1129061847</c:v>
                </c:pt>
                <c:pt idx="14">
                  <c:v>40245.265275147</c:v>
                </c:pt>
                <c:pt idx="15">
                  <c:v>49771.7013475191</c:v>
                </c:pt>
                <c:pt idx="16">
                  <c:v>14805.4056992176</c:v>
                </c:pt>
                <c:pt idx="17">
                  <c:v>5754.24255833863</c:v>
                </c:pt>
                <c:pt idx="18">
                  <c:v>11927.8398134035</c:v>
                </c:pt>
                <c:pt idx="19">
                  <c:v>44104.7486416478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Data!$T$1</c:f>
              <c:strCache>
                <c:ptCount val="1"/>
                <c:pt idx="0">
                  <c:v>SARS-CoV-2 N2 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Auswertung!$D$32:$D$51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Auswertung!$P$2:$P$21</c:f>
              <c:numCache>
                <c:formatCode>General</c:formatCode>
                <c:ptCount val="20"/>
                <c:pt idx="0">
                  <c:v>0</c:v>
                </c:pt>
                <c:pt idx="1">
                  <c:v>32133.5542825623</c:v>
                </c:pt>
                <c:pt idx="2">
                  <c:v>22482.9654597618</c:v>
                </c:pt>
                <c:pt idx="3">
                  <c:v>28855.4838497299</c:v>
                </c:pt>
                <c:pt idx="4">
                  <c:v>21823.6889092221</c:v>
                </c:pt>
                <c:pt idx="5">
                  <c:v>39126.0011027829</c:v>
                </c:pt>
                <c:pt idx="6">
                  <c:v>37935.2455778697</c:v>
                </c:pt>
                <c:pt idx="7">
                  <c:v>32615.3077589074</c:v>
                </c:pt>
                <c:pt idx="8">
                  <c:v>25296.368862158</c:v>
                </c:pt>
                <c:pt idx="9">
                  <c:v>32170.3582577904</c:v>
                </c:pt>
                <c:pt idx="10">
                  <c:v>22977.3056064435</c:v>
                </c:pt>
                <c:pt idx="11">
                  <c:v>58876.4442003743</c:v>
                </c:pt>
                <c:pt idx="12">
                  <c:v>10182.1215146533</c:v>
                </c:pt>
                <c:pt idx="13">
                  <c:v>30346.0498767453</c:v>
                </c:pt>
                <c:pt idx="14">
                  <c:v>37935.2455778697</c:v>
                </c:pt>
                <c:pt idx="15">
                  <c:v>24526.5025294417</c:v>
                </c:pt>
                <c:pt idx="16">
                  <c:v>5857.65161096838</c:v>
                </c:pt>
                <c:pt idx="17">
                  <c:v>3463.69759101506</c:v>
                </c:pt>
                <c:pt idx="18">
                  <c:v>3463.69759101506</c:v>
                </c:pt>
                <c:pt idx="19">
                  <c:v>23861.8688993213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Data!$U$1</c:f>
              <c:strCache>
                <c:ptCount val="1"/>
                <c:pt idx="0">
                  <c:v>PMMoV 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Auswertung!$D$32:$D$51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Auswertung!$Q$2:$Q$21</c:f>
              <c:numCache>
                <c:formatCode>General</c:formatCode>
                <c:ptCount val="20"/>
                <c:pt idx="0">
                  <c:v>13209.3131244556</c:v>
                </c:pt>
                <c:pt idx="1">
                  <c:v>52128395.943441</c:v>
                </c:pt>
                <c:pt idx="2">
                  <c:v>42685558.626143</c:v>
                </c:pt>
                <c:pt idx="3">
                  <c:v>26709841.7001215</c:v>
                </c:pt>
                <c:pt idx="4">
                  <c:v>90804935.5558932</c:v>
                </c:pt>
                <c:pt idx="5">
                  <c:v>52885184.5577794</c:v>
                </c:pt>
                <c:pt idx="6">
                  <c:v>51441639.8246053</c:v>
                </c:pt>
                <c:pt idx="7">
                  <c:v>39149405.1105405</c:v>
                </c:pt>
                <c:pt idx="8">
                  <c:v>60733753.7415176</c:v>
                </c:pt>
                <c:pt idx="9">
                  <c:v>24958157.566781</c:v>
                </c:pt>
                <c:pt idx="10">
                  <c:v>35436920.580008</c:v>
                </c:pt>
                <c:pt idx="11">
                  <c:v>59403871.2574916</c:v>
                </c:pt>
                <c:pt idx="12">
                  <c:v>49479283.6017043</c:v>
                </c:pt>
                <c:pt idx="13">
                  <c:v>71882272.6455769</c:v>
                </c:pt>
                <c:pt idx="14">
                  <c:v>41207786.8457897</c:v>
                </c:pt>
                <c:pt idx="15">
                  <c:v>53806567.5044736</c:v>
                </c:pt>
                <c:pt idx="16">
                  <c:v>24917701.6148151</c:v>
                </c:pt>
                <c:pt idx="17">
                  <c:v>17021562.0821752</c:v>
                </c:pt>
                <c:pt idx="18">
                  <c:v>33799854.8432417</c:v>
                </c:pt>
                <c:pt idx="19">
                  <c:v>108485339.548941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9122505"/>
        <c:axId val="65637262"/>
      </c:lineChart>
      <c:dateAx>
        <c:axId val="89122505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65637262"/>
        <c:crosses val="autoZero"/>
        <c:auto val="1"/>
        <c:lblOffset val="100"/>
        <c:noMultiLvlLbl val="0"/>
      </c:dateAx>
      <c:valAx>
        <c:axId val="6563726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  <a:ea typeface="Arial"/>
                  </a:rPr>
                  <a:t>Genkonzentration [GU/L]</a:t>
                </a:r>
              </a:p>
            </c:rich>
          </c:tx>
          <c:layout>
            <c:manualLayout>
              <c:xMode val="edge"/>
              <c:yMode val="edge"/>
              <c:x val="0.0231568998109641"/>
              <c:y val="0.379459662995387"/>
            </c:manualLayout>
          </c:layout>
          <c:overlay val="0"/>
          <c:spPr>
            <a:noFill/>
            <a:ln w="0">
              <a:noFill/>
            </a:ln>
          </c:spPr>
        </c:title>
        <c:numFmt formatCode="0.00E+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91225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99924224795512"/>
          <c:y val="0.25463200610668"/>
          <c:w val="0.191056608409793"/>
          <c:h val="0.40119638859851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Arial"/>
              </a:rPr>
              <a:t>Zulauf Süd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869295166082"/>
          <c:y val="0.120182757250695"/>
          <c:w val="0.678503915743991"/>
          <c:h val="0.700834326579261"/>
        </c:manualLayout>
      </c:layout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SARS-CoV-2 N1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Auswertung!$D$2:$D$21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Auswertung!$O$32:$O$51</c:f>
              <c:numCache>
                <c:formatCode>General</c:formatCode>
                <c:ptCount val="20"/>
                <c:pt idx="0">
                  <c:v>5754.24255833863</c:v>
                </c:pt>
                <c:pt idx="1">
                  <c:v>11913.2847940839</c:v>
                </c:pt>
                <c:pt idx="2">
                  <c:v>17522.5834622405</c:v>
                </c:pt>
                <c:pt idx="3">
                  <c:v>16728.1425901377</c:v>
                </c:pt>
                <c:pt idx="4">
                  <c:v>9823.09213114015</c:v>
                </c:pt>
                <c:pt idx="5">
                  <c:v>76402.6976462743</c:v>
                </c:pt>
                <c:pt idx="6">
                  <c:v>65029.8141446619</c:v>
                </c:pt>
                <c:pt idx="7">
                  <c:v>29049.028430992</c:v>
                </c:pt>
                <c:pt idx="8">
                  <c:v>51628.6428831375</c:v>
                </c:pt>
                <c:pt idx="9">
                  <c:v>53948.6493983922</c:v>
                </c:pt>
                <c:pt idx="10">
                  <c:v>20587.05939508</c:v>
                </c:pt>
                <c:pt idx="11">
                  <c:v>24906.7508245356</c:v>
                </c:pt>
                <c:pt idx="12">
                  <c:v>10152.3274715255</c:v>
                </c:pt>
                <c:pt idx="13">
                  <c:v>23488.9670945282</c:v>
                </c:pt>
                <c:pt idx="14">
                  <c:v>5754.24255833863</c:v>
                </c:pt>
                <c:pt idx="15">
                  <c:v>25460.2116504951</c:v>
                </c:pt>
                <c:pt idx="16">
                  <c:v>5754.24255833863</c:v>
                </c:pt>
                <c:pt idx="17">
                  <c:v>7573.55590562536</c:v>
                </c:pt>
                <c:pt idx="18">
                  <c:v>5754.24255833863</c:v>
                </c:pt>
                <c:pt idx="19">
                  <c:v>5754.24255833863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Data!$T$1</c:f>
              <c:strCache>
                <c:ptCount val="1"/>
                <c:pt idx="0">
                  <c:v>SARS-CoV-2 N2 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Auswertung!$D$2:$D$21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Auswertung!$P$32:$P$51</c:f>
              <c:numCache>
                <c:formatCode>General</c:formatCode>
                <c:ptCount val="20"/>
                <c:pt idx="0">
                  <c:v>3463.69759101506</c:v>
                </c:pt>
                <c:pt idx="1">
                  <c:v>8173.14001577588</c:v>
                </c:pt>
                <c:pt idx="2">
                  <c:v>10906.01757883</c:v>
                </c:pt>
                <c:pt idx="3">
                  <c:v>8936.45416059012</c:v>
                </c:pt>
                <c:pt idx="4">
                  <c:v>6083.15514416229</c:v>
                </c:pt>
                <c:pt idx="5">
                  <c:v>33523.754221536</c:v>
                </c:pt>
                <c:pt idx="6">
                  <c:v>37935.2455778697</c:v>
                </c:pt>
                <c:pt idx="7">
                  <c:v>15533.8808478941</c:v>
                </c:pt>
                <c:pt idx="8">
                  <c:v>21014.6812742487</c:v>
                </c:pt>
                <c:pt idx="9">
                  <c:v>31298.5869171567</c:v>
                </c:pt>
                <c:pt idx="10">
                  <c:v>12048.047582253</c:v>
                </c:pt>
                <c:pt idx="11">
                  <c:v>16752.9263439031</c:v>
                </c:pt>
                <c:pt idx="12">
                  <c:v>8814.53990946909</c:v>
                </c:pt>
                <c:pt idx="13">
                  <c:v>20656.9323912404</c:v>
                </c:pt>
                <c:pt idx="14">
                  <c:v>5718.52161316014</c:v>
                </c:pt>
                <c:pt idx="15">
                  <c:v>28429.2658983623</c:v>
                </c:pt>
                <c:pt idx="16">
                  <c:v>4070.38579657353</c:v>
                </c:pt>
                <c:pt idx="17">
                  <c:v>3463.69759101506</c:v>
                </c:pt>
                <c:pt idx="18">
                  <c:v>3463.69759101506</c:v>
                </c:pt>
                <c:pt idx="19">
                  <c:v>3463.69759101506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Data!$U$1</c:f>
              <c:strCache>
                <c:ptCount val="1"/>
                <c:pt idx="0">
                  <c:v>PMMoV 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Auswertung!$D$2:$D$21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Auswertung!$Q$32:$Q$51</c:f>
              <c:numCache>
                <c:formatCode>General</c:formatCode>
                <c:ptCount val="20"/>
                <c:pt idx="0">
                  <c:v>5426348.22385588</c:v>
                </c:pt>
                <c:pt idx="1">
                  <c:v>7364684.80990078</c:v>
                </c:pt>
                <c:pt idx="2">
                  <c:v>8340562.35263117</c:v>
                </c:pt>
                <c:pt idx="3">
                  <c:v>3611151.04326161</c:v>
                </c:pt>
                <c:pt idx="4">
                  <c:v>10880176.0543215</c:v>
                </c:pt>
                <c:pt idx="5">
                  <c:v>24866230.7553667</c:v>
                </c:pt>
                <c:pt idx="6">
                  <c:v>51441639.8246053</c:v>
                </c:pt>
                <c:pt idx="7">
                  <c:v>12425909.2847162</c:v>
                </c:pt>
                <c:pt idx="8">
                  <c:v>25800943.407639</c:v>
                </c:pt>
                <c:pt idx="9">
                  <c:v>61636841.3688284</c:v>
                </c:pt>
                <c:pt idx="10">
                  <c:v>20373778.2843116</c:v>
                </c:pt>
                <c:pt idx="11">
                  <c:v>21772971.4765057</c:v>
                </c:pt>
                <c:pt idx="12">
                  <c:v>21232169.9823953</c:v>
                </c:pt>
                <c:pt idx="13">
                  <c:v>30263374.3856521</c:v>
                </c:pt>
                <c:pt idx="14">
                  <c:v>11235569.0788948</c:v>
                </c:pt>
                <c:pt idx="15">
                  <c:v>40430011.23578</c:v>
                </c:pt>
                <c:pt idx="16">
                  <c:v>13698074.6764011</c:v>
                </c:pt>
                <c:pt idx="17">
                  <c:v>13802879.6351484</c:v>
                </c:pt>
                <c:pt idx="18">
                  <c:v>1289752.59136509</c:v>
                </c:pt>
                <c:pt idx="19">
                  <c:v>6176559.40558567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1128431"/>
        <c:axId val="70404586"/>
      </c:lineChart>
      <c:dateAx>
        <c:axId val="911284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70404586"/>
        <c:crosses val="autoZero"/>
        <c:auto val="1"/>
        <c:lblOffset val="100"/>
        <c:noMultiLvlLbl val="0"/>
      </c:dateAx>
      <c:valAx>
        <c:axId val="7040458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  <a:ea typeface="Arial"/>
                  </a:rPr>
                  <a:t>Genkonzentration [GU/L]</a:t>
                </a:r>
              </a:p>
            </c:rich>
          </c:tx>
          <c:layout>
            <c:manualLayout>
              <c:xMode val="edge"/>
              <c:yMode val="edge"/>
              <c:x val="0.0216378611936268"/>
              <c:y val="0.289928486293206"/>
            </c:manualLayout>
          </c:layout>
          <c:overlay val="0"/>
          <c:spPr>
            <a:noFill/>
            <a:ln w="0">
              <a:noFill/>
            </a:ln>
          </c:spPr>
        </c:title>
        <c:numFmt formatCode="0.00E+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911284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Arial"/>
              </a:rPr>
              <a:t>Zulauf Nord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862797272576"/>
          <c:y val="0.330265752652831"/>
          <c:w val="0.681490104772992"/>
          <c:h val="0.490844210724012"/>
        </c:manualLayout>
      </c:layout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SARS-CoV-2 N1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Auswertung!$D$32:$D$51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Auswertung!$AE$2:$AE$21</c:f>
              <c:numCache>
                <c:formatCode>General</c:formatCode>
                <c:ptCount val="20"/>
                <c:pt idx="0">
                  <c:v>0</c:v>
                </c:pt>
                <c:pt idx="1">
                  <c:v>0.001339041536426</c:v>
                </c:pt>
                <c:pt idx="2">
                  <c:v>0.00166752297476674</c:v>
                </c:pt>
                <c:pt idx="3">
                  <c:v>0.00272412113199537</c:v>
                </c:pt>
                <c:pt idx="4">
                  <c:v>0.000623091478323681</c:v>
                </c:pt>
                <c:pt idx="5">
                  <c:v>0.00207618512064897</c:v>
                </c:pt>
                <c:pt idx="6">
                  <c:v>0.00126414737878471</c:v>
                </c:pt>
                <c:pt idx="7">
                  <c:v>0.00191614960712697</c:v>
                </c:pt>
                <c:pt idx="8">
                  <c:v>0.000778539855998941</c:v>
                </c:pt>
                <c:pt idx="9">
                  <c:v>0.00203851963052633</c:v>
                </c:pt>
                <c:pt idx="10">
                  <c:v>0.00186900579922894</c:v>
                </c:pt>
                <c:pt idx="11">
                  <c:v>0.00201082493844911</c:v>
                </c:pt>
                <c:pt idx="12">
                  <c:v>0.000471258147787523</c:v>
                </c:pt>
                <c:pt idx="13">
                  <c:v>0.000894784075947583</c:v>
                </c:pt>
                <c:pt idx="14">
                  <c:v>0.000976642240597762</c:v>
                </c:pt>
                <c:pt idx="15">
                  <c:v>0.000925011641810844</c:v>
                </c:pt>
                <c:pt idx="16">
                  <c:v>0.000594172204486743</c:v>
                </c:pt>
                <c:pt idx="17">
                  <c:v>0.000338056080315004</c:v>
                </c:pt>
                <c:pt idx="18">
                  <c:v>0.000352896184576026</c:v>
                </c:pt>
                <c:pt idx="19">
                  <c:v>0.000406550312005531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Data!$T$1</c:f>
              <c:strCache>
                <c:ptCount val="1"/>
                <c:pt idx="0">
                  <c:v>SARS-CoV-2 N2 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Auswertung!$D$32:$D$51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Auswertung!$AF$2:$AF$21</c:f>
              <c:numCache>
                <c:formatCode>General</c:formatCode>
                <c:ptCount val="20"/>
                <c:pt idx="0">
                  <c:v>0</c:v>
                </c:pt>
                <c:pt idx="1">
                  <c:v>0.000616430904903097</c:v>
                </c:pt>
                <c:pt idx="2">
                  <c:v>0.000526711285582006</c:v>
                </c:pt>
                <c:pt idx="3">
                  <c:v>0.00108033151875994</c:v>
                </c:pt>
                <c:pt idx="4">
                  <c:v>0.000240335933015325</c:v>
                </c:pt>
                <c:pt idx="5">
                  <c:v>0.000739829149315647</c:v>
                </c:pt>
                <c:pt idx="6">
                  <c:v>0.000737442385336338</c:v>
                </c:pt>
                <c:pt idx="7">
                  <c:v>0.000833098425552477</c:v>
                </c:pt>
                <c:pt idx="8">
                  <c:v>0.00041651252069515</c:v>
                </c:pt>
                <c:pt idx="9">
                  <c:v>0.00128897167876722</c:v>
                </c:pt>
                <c:pt idx="10">
                  <c:v>0.000648400177847459</c:v>
                </c:pt>
                <c:pt idx="11">
                  <c:v>0.000991121335260606</c:v>
                </c:pt>
                <c:pt idx="12">
                  <c:v>0.000205785548485641</c:v>
                </c:pt>
                <c:pt idx="13">
                  <c:v>0.000422163194900218</c:v>
                </c:pt>
                <c:pt idx="14">
                  <c:v>0.000920584396338327</c:v>
                </c:pt>
                <c:pt idx="15">
                  <c:v>0.000455827302631831</c:v>
                </c:pt>
                <c:pt idx="16">
                  <c:v>0.000235079932391743</c:v>
                </c:pt>
                <c:pt idx="17">
                  <c:v>0.000203488820490936</c:v>
                </c:pt>
                <c:pt idx="18">
                  <c:v>0.000102476700183451</c:v>
                </c:pt>
                <c:pt idx="19">
                  <c:v>0.000219954779129917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577779"/>
        <c:axId val="67453818"/>
      </c:lineChart>
      <c:dateAx>
        <c:axId val="4357777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high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67453818"/>
        <c:crosses val="autoZero"/>
        <c:auto val="1"/>
        <c:lblOffset val="100"/>
        <c:noMultiLvlLbl val="0"/>
      </c:dateAx>
      <c:valAx>
        <c:axId val="6745381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  <a:ea typeface="Arial"/>
                  </a:rPr>
                  <a:t>relatives SARS-CoV-2 Signal</a:t>
                </a:r>
              </a:p>
            </c:rich>
          </c:tx>
          <c:layout>
            <c:manualLayout>
              <c:xMode val="edge"/>
              <c:yMode val="edge"/>
              <c:x val="0.0171295526359554"/>
              <c:y val="0.351957930322096"/>
            </c:manualLayout>
          </c:layout>
          <c:overlay val="0"/>
          <c:spPr>
            <a:noFill/>
            <a:ln w="0">
              <a:noFill/>
            </a:ln>
          </c:spPr>
        </c:title>
        <c:numFmt formatCode="0.00E+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435777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26981725179596"/>
          <c:y val="0.361390435670386"/>
          <c:w val="0.171515080354621"/>
          <c:h val="0.40119638859851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Arial"/>
              </a:rPr>
              <a:t>Zulauf Süd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876196294034"/>
          <c:y val="0.330254270957489"/>
          <c:w val="0.681497318943868"/>
          <c:h val="0.490862137465236"/>
        </c:manualLayout>
      </c:layout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SARS-CoV-2 N1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Auswertung!$D$32:$D$51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Auswertung!$AE$32:$AE$51</c:f>
              <c:numCache>
                <c:formatCode>General</c:formatCode>
                <c:ptCount val="20"/>
                <c:pt idx="0">
                  <c:v>0.00106042633479385</c:v>
                </c:pt>
                <c:pt idx="1">
                  <c:v>0.00161762317079315</c:v>
                </c:pt>
                <c:pt idx="2">
                  <c:v>0.0021008875326869</c:v>
                </c:pt>
                <c:pt idx="3">
                  <c:v>0.0046323574920391</c:v>
                </c:pt>
                <c:pt idx="4">
                  <c:v>0.000902843123318624</c:v>
                </c:pt>
                <c:pt idx="5">
                  <c:v>0.00307254840502053</c:v>
                </c:pt>
                <c:pt idx="6">
                  <c:v>0.00126414737878471</c:v>
                </c:pt>
                <c:pt idx="7">
                  <c:v>0.00233777889129788</c:v>
                </c:pt>
                <c:pt idx="8">
                  <c:v>0.00200103701897395</c:v>
                </c:pt>
                <c:pt idx="9">
                  <c:v>0.000875266288802327</c:v>
                </c:pt>
                <c:pt idx="10">
                  <c:v>0.00101046841227936</c:v>
                </c:pt>
                <c:pt idx="11">
                  <c:v>0.00114392979623435</c:v>
                </c:pt>
                <c:pt idx="12">
                  <c:v>0.000478157789804027</c:v>
                </c:pt>
                <c:pt idx="13">
                  <c:v>0.000776151621270108</c:v>
                </c:pt>
                <c:pt idx="14">
                  <c:v>0.000512145180892311</c:v>
                </c:pt>
                <c:pt idx="15">
                  <c:v>0.000629735458197528</c:v>
                </c:pt>
                <c:pt idx="16">
                  <c:v>0.000420076740291976</c:v>
                </c:pt>
                <c:pt idx="17">
                  <c:v>0.000548693903432994</c:v>
                </c:pt>
                <c:pt idx="18">
                  <c:v>0.00446150881716647</c:v>
                </c:pt>
                <c:pt idx="19">
                  <c:v>0.000931625874614737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Data!$T$1</c:f>
              <c:strCache>
                <c:ptCount val="1"/>
                <c:pt idx="0">
                  <c:v>SARS-CoV-2 N2 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Auswertung!$D$32:$D$51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Auswertung!$AF$32:$AF$51</c:f>
              <c:numCache>
                <c:formatCode>General</c:formatCode>
                <c:ptCount val="20"/>
                <c:pt idx="0">
                  <c:v>0.000638310968652471</c:v>
                </c:pt>
                <c:pt idx="1">
                  <c:v>0.00110977458326366</c:v>
                </c:pt>
                <c:pt idx="2">
                  <c:v>0.00130758780016668</c:v>
                </c:pt>
                <c:pt idx="3">
                  <c:v>0.00247468301755627</c:v>
                </c:pt>
                <c:pt idx="4">
                  <c:v>0.000559104477151002</c:v>
                </c:pt>
                <c:pt idx="5">
                  <c:v>0.0013481638834346</c:v>
                </c:pt>
                <c:pt idx="6">
                  <c:v>0.000737442385336338</c:v>
                </c:pt>
                <c:pt idx="7">
                  <c:v>0.00125012025212518</c:v>
                </c:pt>
                <c:pt idx="8">
                  <c:v>0.000814492747115083</c:v>
                </c:pt>
                <c:pt idx="9">
                  <c:v>0.000507790247230049</c:v>
                </c:pt>
                <c:pt idx="10">
                  <c:v>0.000591350677038157</c:v>
                </c:pt>
                <c:pt idx="11">
                  <c:v>0.000769436838787965</c:v>
                </c:pt>
                <c:pt idx="12">
                  <c:v>0.000415150213886649</c:v>
                </c:pt>
                <c:pt idx="13">
                  <c:v>0.000682572013550275</c:v>
                </c:pt>
                <c:pt idx="14">
                  <c:v>0.000508965907557097</c:v>
                </c:pt>
                <c:pt idx="15">
                  <c:v>0.000703172347209311</c:v>
                </c:pt>
                <c:pt idx="16">
                  <c:v>0.000297150212181713</c:v>
                </c:pt>
                <c:pt idx="17">
                  <c:v>0.000250940215561607</c:v>
                </c:pt>
                <c:pt idx="18">
                  <c:v>0.00268555195330064</c:v>
                </c:pt>
                <c:pt idx="19">
                  <c:v>0.000560781069778545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667432"/>
        <c:axId val="40167198"/>
      </c:lineChart>
      <c:dateAx>
        <c:axId val="2366743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high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40167198"/>
        <c:crosses val="autoZero"/>
        <c:auto val="1"/>
        <c:lblOffset val="100"/>
        <c:noMultiLvlLbl val="0"/>
      </c:dateAx>
      <c:valAx>
        <c:axId val="4016719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  <a:ea typeface="Arial"/>
                  </a:rPr>
                  <a:t>relatives SARS-CoV-2 Signal</a:t>
                </a:r>
              </a:p>
            </c:rich>
          </c:tx>
          <c:layout>
            <c:manualLayout>
              <c:xMode val="edge"/>
              <c:yMode val="edge"/>
              <c:x val="0.0171383967963076"/>
              <c:y val="0.341577274533174"/>
            </c:manualLayout>
          </c:layout>
          <c:overlay val="0"/>
          <c:spPr>
            <a:noFill/>
            <a:ln w="0">
              <a:noFill/>
            </a:ln>
          </c:spPr>
        </c:title>
        <c:numFmt formatCode="0.00E+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236674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26981725179596"/>
          <c:y val="0.361390435670386"/>
          <c:w val="0.171515080354621"/>
          <c:h val="0.40119638859851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  <a:ea typeface="Arial"/>
              </a:rPr>
              <a:t>KA Salierweg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883922954797"/>
          <c:y val="0.330187742127744"/>
          <c:w val="0.617619746577599"/>
          <c:h val="0.607926889838085"/>
        </c:manualLayout>
      </c:layout>
      <c:lineChart>
        <c:grouping val="standard"/>
        <c:varyColors val="0"/>
        <c:ser>
          <c:idx val="0"/>
          <c:order val="0"/>
          <c:tx>
            <c:strRef>
              <c:f>Auswertung!$AU$2</c:f>
              <c:strCache>
                <c:ptCount val="1"/>
                <c:pt idx="0">
                  <c:v>SARS-CoV-2 N1 (Zulauf Nord)</c:v>
                </c:pt>
              </c:strCache>
            </c:strRef>
          </c:tx>
          <c:spPr>
            <a:solidFill>
              <a:srgbClr val="4a7ebb"/>
            </a:solidFill>
            <a:ln w="19080">
              <a:solidFill>
                <a:srgbClr val="4a7ebb"/>
              </a:solidFill>
              <a:prstDash val="sysDash"/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Auswertung!$D$32:$D$51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Auswertung!$AE$2:$AE$21</c:f>
              <c:numCache>
                <c:formatCode>General</c:formatCode>
                <c:ptCount val="20"/>
                <c:pt idx="0">
                  <c:v>0</c:v>
                </c:pt>
                <c:pt idx="1">
                  <c:v>0.001339041536426</c:v>
                </c:pt>
                <c:pt idx="2">
                  <c:v>0.00166752297476674</c:v>
                </c:pt>
                <c:pt idx="3">
                  <c:v>0.00272412113199537</c:v>
                </c:pt>
                <c:pt idx="4">
                  <c:v>0.000623091478323681</c:v>
                </c:pt>
                <c:pt idx="5">
                  <c:v>0.00207618512064897</c:v>
                </c:pt>
                <c:pt idx="6">
                  <c:v>0.00126414737878471</c:v>
                </c:pt>
                <c:pt idx="7">
                  <c:v>0.00191614960712697</c:v>
                </c:pt>
                <c:pt idx="8">
                  <c:v>0.000778539855998941</c:v>
                </c:pt>
                <c:pt idx="9">
                  <c:v>0.00203851963052633</c:v>
                </c:pt>
                <c:pt idx="10">
                  <c:v>0.00186900579922894</c:v>
                </c:pt>
                <c:pt idx="11">
                  <c:v>0.00201082493844911</c:v>
                </c:pt>
                <c:pt idx="12">
                  <c:v>0.000471258147787523</c:v>
                </c:pt>
                <c:pt idx="13">
                  <c:v>0.000894784075947583</c:v>
                </c:pt>
                <c:pt idx="14">
                  <c:v>0.000976642240597762</c:v>
                </c:pt>
                <c:pt idx="15">
                  <c:v>0.000925011641810844</c:v>
                </c:pt>
                <c:pt idx="16">
                  <c:v>0.000594172204486743</c:v>
                </c:pt>
                <c:pt idx="17">
                  <c:v>0.000338056080315004</c:v>
                </c:pt>
                <c:pt idx="18">
                  <c:v>0.000352896184576026</c:v>
                </c:pt>
                <c:pt idx="19">
                  <c:v>0.000406550312005531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Auswertung!$AU$3</c:f>
              <c:strCache>
                <c:ptCount val="1"/>
                <c:pt idx="0">
                  <c:v>SARS-CoV-2 N2  (Zulauf Nord)</c:v>
                </c:pt>
              </c:strCache>
            </c:strRef>
          </c:tx>
          <c:spPr>
            <a:solidFill>
              <a:srgbClr val="be4b48"/>
            </a:solidFill>
            <a:ln w="19080">
              <a:solidFill>
                <a:srgbClr val="be4b48"/>
              </a:solidFill>
              <a:prstDash val="sysDash"/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Auswertung!$D$32:$D$51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Auswertung!$AF$2:$AF$21</c:f>
              <c:numCache>
                <c:formatCode>General</c:formatCode>
                <c:ptCount val="20"/>
                <c:pt idx="0">
                  <c:v>0</c:v>
                </c:pt>
                <c:pt idx="1">
                  <c:v>0.000616430904903097</c:v>
                </c:pt>
                <c:pt idx="2">
                  <c:v>0.000526711285582006</c:v>
                </c:pt>
                <c:pt idx="3">
                  <c:v>0.00108033151875994</c:v>
                </c:pt>
                <c:pt idx="4">
                  <c:v>0.000240335933015325</c:v>
                </c:pt>
                <c:pt idx="5">
                  <c:v>0.000739829149315647</c:v>
                </c:pt>
                <c:pt idx="6">
                  <c:v>0.000737442385336338</c:v>
                </c:pt>
                <c:pt idx="7">
                  <c:v>0.000833098425552477</c:v>
                </c:pt>
                <c:pt idx="8">
                  <c:v>0.00041651252069515</c:v>
                </c:pt>
                <c:pt idx="9">
                  <c:v>0.00128897167876722</c:v>
                </c:pt>
                <c:pt idx="10">
                  <c:v>0.000648400177847459</c:v>
                </c:pt>
                <c:pt idx="11">
                  <c:v>0.000991121335260606</c:v>
                </c:pt>
                <c:pt idx="12">
                  <c:v>0.000205785548485641</c:v>
                </c:pt>
                <c:pt idx="13">
                  <c:v>0.000422163194900218</c:v>
                </c:pt>
                <c:pt idx="14">
                  <c:v>0.000920584396338327</c:v>
                </c:pt>
                <c:pt idx="15">
                  <c:v>0.000455827302631831</c:v>
                </c:pt>
                <c:pt idx="16">
                  <c:v>0.000235079932391743</c:v>
                </c:pt>
                <c:pt idx="17">
                  <c:v>0.000203488820490936</c:v>
                </c:pt>
                <c:pt idx="18">
                  <c:v>0.000102476700183451</c:v>
                </c:pt>
                <c:pt idx="19">
                  <c:v>0.000219954779129917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Auswertung!$AU$4</c:f>
              <c:strCache>
                <c:ptCount val="1"/>
                <c:pt idx="0">
                  <c:v>SARS-CoV-2 N1 (Zulauf Süd)</c:v>
                </c:pt>
              </c:strCache>
            </c:strRef>
          </c:tx>
          <c:spPr>
            <a:solidFill>
              <a:srgbClr val="95b3d7"/>
            </a:solidFill>
            <a:ln w="19080">
              <a:solidFill>
                <a:srgbClr val="95b3d7"/>
              </a:solidFill>
              <a:prstDash val="sysDash"/>
              <a:round/>
            </a:ln>
          </c:spPr>
          <c:marker>
            <c:symbol val="diamond"/>
            <c:size val="7"/>
            <c:spPr>
              <a:solidFill>
                <a:srgbClr val="95b3d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Auswertung!$D$32:$D$51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Auswertung!$AE$32:$AE$51</c:f>
              <c:numCache>
                <c:formatCode>General</c:formatCode>
                <c:ptCount val="20"/>
                <c:pt idx="0">
                  <c:v>0.00106042633479385</c:v>
                </c:pt>
                <c:pt idx="1">
                  <c:v>0.00161762317079315</c:v>
                </c:pt>
                <c:pt idx="2">
                  <c:v>0.0021008875326869</c:v>
                </c:pt>
                <c:pt idx="3">
                  <c:v>0.0046323574920391</c:v>
                </c:pt>
                <c:pt idx="4">
                  <c:v>0.000902843123318624</c:v>
                </c:pt>
                <c:pt idx="5">
                  <c:v>0.00307254840502053</c:v>
                </c:pt>
                <c:pt idx="6">
                  <c:v>0.00126414737878471</c:v>
                </c:pt>
                <c:pt idx="7">
                  <c:v>0.00233777889129788</c:v>
                </c:pt>
                <c:pt idx="8">
                  <c:v>0.00200103701897395</c:v>
                </c:pt>
                <c:pt idx="9">
                  <c:v>0.000875266288802327</c:v>
                </c:pt>
                <c:pt idx="10">
                  <c:v>0.00101046841227936</c:v>
                </c:pt>
                <c:pt idx="11">
                  <c:v>0.00114392979623435</c:v>
                </c:pt>
                <c:pt idx="12">
                  <c:v>0.000478157789804027</c:v>
                </c:pt>
                <c:pt idx="13">
                  <c:v>0.000776151621270108</c:v>
                </c:pt>
                <c:pt idx="14">
                  <c:v>0.000512145180892311</c:v>
                </c:pt>
                <c:pt idx="15">
                  <c:v>0.000629735458197528</c:v>
                </c:pt>
                <c:pt idx="16">
                  <c:v>0.000420076740291976</c:v>
                </c:pt>
                <c:pt idx="17">
                  <c:v>0.000548693903432994</c:v>
                </c:pt>
                <c:pt idx="18">
                  <c:v>0.00446150881716647</c:v>
                </c:pt>
                <c:pt idx="19">
                  <c:v>0.000931625874614737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Auswertung!$AU$5</c:f>
              <c:strCache>
                <c:ptCount val="1"/>
                <c:pt idx="0">
                  <c:v>SARS-CoV-2 N2  (Zulauf Süd)</c:v>
                </c:pt>
              </c:strCache>
            </c:strRef>
          </c:tx>
          <c:spPr>
            <a:solidFill>
              <a:srgbClr val="d99694"/>
            </a:solidFill>
            <a:ln w="19080">
              <a:solidFill>
                <a:srgbClr val="d99694"/>
              </a:solidFill>
              <a:prstDash val="sysDash"/>
              <a:round/>
            </a:ln>
          </c:spPr>
          <c:marker>
            <c:symbol val="square"/>
            <c:size val="7"/>
            <c:spPr>
              <a:solidFill>
                <a:srgbClr val="d9969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Auswertung!$D$32:$D$51</c:f>
              <c:numCache>
                <c:formatCode>m/d/yyyy</c:formatCode>
                <c:ptCount val="20"/>
                <c:pt idx="0">
                  <c:v>3/1/2022</c:v>
                </c:pt>
                <c:pt idx="1">
                  <c:v>3/3/2022</c:v>
                </c:pt>
                <c:pt idx="2">
                  <c:v>3/8/2022</c:v>
                </c:pt>
                <c:pt idx="3">
                  <c:v>3/10/2022</c:v>
                </c:pt>
                <c:pt idx="4">
                  <c:v>3/15/2022</c:v>
                </c:pt>
                <c:pt idx="5">
                  <c:v>3/17/2022</c:v>
                </c:pt>
                <c:pt idx="6">
                  <c:v>3/22/2022</c:v>
                </c:pt>
                <c:pt idx="7">
                  <c:v>3/24/2022</c:v>
                </c:pt>
                <c:pt idx="8">
                  <c:v>3/29/2022</c:v>
                </c:pt>
                <c:pt idx="9">
                  <c:v>3/31/2022</c:v>
                </c:pt>
                <c:pt idx="10">
                  <c:v>4/5/2022</c:v>
                </c:pt>
                <c:pt idx="11">
                  <c:v>4/7/2022</c:v>
                </c:pt>
                <c:pt idx="12">
                  <c:v>4/12/2022</c:v>
                </c:pt>
                <c:pt idx="13">
                  <c:v>4/14/2022</c:v>
                </c:pt>
                <c:pt idx="14">
                  <c:v>4/19/2022</c:v>
                </c:pt>
                <c:pt idx="15">
                  <c:v>4/21/2022</c:v>
                </c:pt>
                <c:pt idx="16">
                  <c:v>4/26/2022</c:v>
                </c:pt>
                <c:pt idx="17">
                  <c:v>4/28/2022</c:v>
                </c:pt>
                <c:pt idx="18">
                  <c:v>5/3/2022</c:v>
                </c:pt>
                <c:pt idx="19">
                  <c:v>5/5/2022</c:v>
                </c:pt>
              </c:numCache>
            </c:numRef>
          </c:cat>
          <c:val>
            <c:numRef>
              <c:f>Auswertung!$AF$32:$AF$51</c:f>
              <c:numCache>
                <c:formatCode>General</c:formatCode>
                <c:ptCount val="20"/>
                <c:pt idx="0">
                  <c:v>0.000638310968652471</c:v>
                </c:pt>
                <c:pt idx="1">
                  <c:v>0.00110977458326366</c:v>
                </c:pt>
                <c:pt idx="2">
                  <c:v>0.00130758780016668</c:v>
                </c:pt>
                <c:pt idx="3">
                  <c:v>0.00247468301755627</c:v>
                </c:pt>
                <c:pt idx="4">
                  <c:v>0.000559104477151002</c:v>
                </c:pt>
                <c:pt idx="5">
                  <c:v>0.0013481638834346</c:v>
                </c:pt>
                <c:pt idx="6">
                  <c:v>0.000737442385336338</c:v>
                </c:pt>
                <c:pt idx="7">
                  <c:v>0.00125012025212518</c:v>
                </c:pt>
                <c:pt idx="8">
                  <c:v>0.000814492747115083</c:v>
                </c:pt>
                <c:pt idx="9">
                  <c:v>0.000507790247230049</c:v>
                </c:pt>
                <c:pt idx="10">
                  <c:v>0.000591350677038157</c:v>
                </c:pt>
                <c:pt idx="11">
                  <c:v>0.000769436838787965</c:v>
                </c:pt>
                <c:pt idx="12">
                  <c:v>0.000415150213886649</c:v>
                </c:pt>
                <c:pt idx="13">
                  <c:v>0.000682572013550275</c:v>
                </c:pt>
                <c:pt idx="14">
                  <c:v>0.000508965907557097</c:v>
                </c:pt>
                <c:pt idx="15">
                  <c:v>0.000703172347209311</c:v>
                </c:pt>
                <c:pt idx="16">
                  <c:v>0.000297150212181713</c:v>
                </c:pt>
                <c:pt idx="17">
                  <c:v>0.000250940215561607</c:v>
                </c:pt>
                <c:pt idx="18">
                  <c:v>0.00268555195330064</c:v>
                </c:pt>
                <c:pt idx="19">
                  <c:v>0.000560781069778545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064154"/>
        <c:axId val="30117086"/>
      </c:lineChart>
      <c:dateAx>
        <c:axId val="1406415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high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30117086"/>
        <c:crosses val="autoZero"/>
        <c:auto val="1"/>
        <c:lblOffset val="100"/>
        <c:noMultiLvlLbl val="0"/>
      </c:dateAx>
      <c:valAx>
        <c:axId val="30117086"/>
        <c:scaling>
          <c:logBase val="10"/>
          <c:orientation val="minMax"/>
          <c:max val="0.01"/>
          <c:min val="0.000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  <a:ea typeface="Arial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  <a:ea typeface="Arial"/>
                  </a:rPr>
                  <a:t>relatives SARS-CoV-2 Signal</a:t>
                </a:r>
              </a:p>
            </c:rich>
          </c:tx>
          <c:layout>
            <c:manualLayout>
              <c:xMode val="edge"/>
              <c:yMode val="edge"/>
              <c:x val="0.017134469640236"/>
              <c:y val="0.351941988675872"/>
            </c:manualLayout>
          </c:layout>
          <c:overlay val="0"/>
          <c:spPr>
            <a:noFill/>
            <a:ln w="0">
              <a:noFill/>
            </a:ln>
          </c:spPr>
        </c:title>
        <c:numFmt formatCode="0.00E+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140641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07007389764299"/>
          <c:y val="0.438289494833398"/>
          <c:w val="0.192992610235701"/>
          <c:h val="0.2528288052632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123840</xdr:colOff>
      <xdr:row>1</xdr:row>
      <xdr:rowOff>61920</xdr:rowOff>
    </xdr:from>
    <xdr:to>
      <xdr:col>29</xdr:col>
      <xdr:colOff>361440</xdr:colOff>
      <xdr:row>21</xdr:row>
      <xdr:rowOff>66240</xdr:rowOff>
    </xdr:to>
    <xdr:graphicFrame>
      <xdr:nvGraphicFramePr>
        <xdr:cNvPr id="0" name="Diagramm 1"/>
        <xdr:cNvGraphicFramePr/>
      </xdr:nvGraphicFramePr>
      <xdr:xfrm>
        <a:off x="19758600" y="1328760"/>
        <a:ext cx="10664280" cy="382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123840</xdr:colOff>
      <xdr:row>22</xdr:row>
      <xdr:rowOff>171360</xdr:rowOff>
    </xdr:from>
    <xdr:to>
      <xdr:col>29</xdr:col>
      <xdr:colOff>361440</xdr:colOff>
      <xdr:row>42</xdr:row>
      <xdr:rowOff>175680</xdr:rowOff>
    </xdr:to>
    <xdr:graphicFrame>
      <xdr:nvGraphicFramePr>
        <xdr:cNvPr id="1" name="Diagramm 2"/>
        <xdr:cNvGraphicFramePr/>
      </xdr:nvGraphicFramePr>
      <xdr:xfrm>
        <a:off x="19758600" y="5438520"/>
        <a:ext cx="10664280" cy="362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32</xdr:col>
      <xdr:colOff>762120</xdr:colOff>
      <xdr:row>0</xdr:row>
      <xdr:rowOff>1073160</xdr:rowOff>
    </xdr:from>
    <xdr:to>
      <xdr:col>43</xdr:col>
      <xdr:colOff>409320</xdr:colOff>
      <xdr:row>20</xdr:row>
      <xdr:rowOff>1080</xdr:rowOff>
    </xdr:to>
    <xdr:graphicFrame>
      <xdr:nvGraphicFramePr>
        <xdr:cNvPr id="2" name="Diagramm 3"/>
        <xdr:cNvGraphicFramePr/>
      </xdr:nvGraphicFramePr>
      <xdr:xfrm>
        <a:off x="33871680" y="1073160"/>
        <a:ext cx="10823040" cy="383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33</xdr:col>
      <xdr:colOff>0</xdr:colOff>
      <xdr:row>22</xdr:row>
      <xdr:rowOff>0</xdr:rowOff>
    </xdr:from>
    <xdr:to>
      <xdr:col>43</xdr:col>
      <xdr:colOff>447480</xdr:colOff>
      <xdr:row>42</xdr:row>
      <xdr:rowOff>4320</xdr:rowOff>
    </xdr:to>
    <xdr:graphicFrame>
      <xdr:nvGraphicFramePr>
        <xdr:cNvPr id="3" name="Diagramm 4"/>
        <xdr:cNvGraphicFramePr/>
      </xdr:nvGraphicFramePr>
      <xdr:xfrm>
        <a:off x="34125480" y="5267160"/>
        <a:ext cx="10607400" cy="362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44</xdr:col>
      <xdr:colOff>0</xdr:colOff>
      <xdr:row>10</xdr:row>
      <xdr:rowOff>0</xdr:rowOff>
    </xdr:from>
    <xdr:to>
      <xdr:col>54</xdr:col>
      <xdr:colOff>447480</xdr:colOff>
      <xdr:row>30</xdr:row>
      <xdr:rowOff>4320</xdr:rowOff>
    </xdr:to>
    <xdr:graphicFrame>
      <xdr:nvGraphicFramePr>
        <xdr:cNvPr id="4" name="Diagramm 5"/>
        <xdr:cNvGraphicFramePr/>
      </xdr:nvGraphicFramePr>
      <xdr:xfrm>
        <a:off x="45301680" y="3095640"/>
        <a:ext cx="12017520" cy="362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C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M11" activeCellId="0" sqref="M11"/>
    </sheetView>
  </sheetViews>
  <sheetFormatPr defaultColWidth="10.5390625" defaultRowHeight="14.25" zeroHeight="false" outlineLevelRow="0" outlineLevelCol="0"/>
  <cols>
    <col collapsed="false" customWidth="true" hidden="false" outlineLevel="0" max="1" min="1" style="1" width="18.71"/>
    <col collapsed="false" customWidth="true" hidden="false" outlineLevel="0" max="2" min="2" style="2" width="15.57"/>
    <col collapsed="false" customWidth="true" hidden="false" outlineLevel="0" max="3" min="3" style="3" width="18.85"/>
    <col collapsed="false" customWidth="true" hidden="false" outlineLevel="0" max="4" min="4" style="3" width="12.57"/>
    <col collapsed="false" customWidth="true" hidden="true" outlineLevel="0" max="5" min="5" style="1" width="13.71"/>
    <col collapsed="false" customWidth="true" hidden="false" outlineLevel="0" max="6" min="6" style="1" width="13.85"/>
    <col collapsed="false" customWidth="true" hidden="false" outlineLevel="0" max="7" min="7" style="1" width="17.28"/>
    <col collapsed="false" customWidth="true" hidden="false" outlineLevel="0" max="8" min="8" style="4" width="7"/>
    <col collapsed="false" customWidth="true" hidden="false" outlineLevel="0" max="9" min="9" style="5" width="8.28"/>
    <col collapsed="false" customWidth="true" hidden="false" outlineLevel="0" max="10" min="10" style="6" width="11.42"/>
    <col collapsed="false" customWidth="true" hidden="false" outlineLevel="0" max="12" min="11" style="7" width="11.43"/>
    <col collapsed="false" customWidth="true" hidden="false" outlineLevel="0" max="13" min="13" style="7" width="13.28"/>
    <col collapsed="false" customWidth="true" hidden="false" outlineLevel="0" max="14" min="14" style="7" width="13.85"/>
    <col collapsed="false" customWidth="true" hidden="false" outlineLevel="0" max="15" min="15" style="8" width="14.43"/>
    <col collapsed="false" customWidth="true" hidden="false" outlineLevel="0" max="16" min="16" style="7" width="15.14"/>
    <col collapsed="false" customWidth="true" hidden="true" outlineLevel="0" max="17" min="17" style="6" width="21.57"/>
    <col collapsed="false" customWidth="true" hidden="true" outlineLevel="0" max="18" min="18" style="6" width="17.28"/>
    <col collapsed="false" customWidth="true" hidden="false" outlineLevel="0" max="20" min="19" style="9" width="13.85"/>
    <col collapsed="false" customWidth="true" hidden="false" outlineLevel="0" max="21" min="21" style="9" width="13.43"/>
    <col collapsed="false" customWidth="true" hidden="false" outlineLevel="0" max="23" min="22" style="10" width="13.85"/>
    <col collapsed="false" customWidth="true" hidden="false" outlineLevel="0" max="24" min="24" style="10" width="13.43"/>
    <col collapsed="false" customWidth="true" hidden="false" outlineLevel="0" max="25" min="25" style="1" width="32.86"/>
    <col collapsed="false" customWidth="true" hidden="false" outlineLevel="0" max="26" min="26" style="0" width="14.57"/>
    <col collapsed="false" customWidth="true" hidden="false" outlineLevel="0" max="28" min="27" style="0" width="10.85"/>
    <col collapsed="false" customWidth="true" hidden="false" outlineLevel="0" max="30" min="29" style="11" width="11.43"/>
    <col collapsed="false" customWidth="true" hidden="false" outlineLevel="0" max="158" min="31" style="0" width="10.85"/>
  </cols>
  <sheetData>
    <row r="1" s="22" customFormat="true" ht="54.6" hidden="false" customHeight="true" outlineLevel="0" collapsed="false">
      <c r="A1" s="12" t="s">
        <v>0</v>
      </c>
      <c r="B1" s="13" t="s">
        <v>1</v>
      </c>
      <c r="C1" s="14" t="s">
        <v>2</v>
      </c>
      <c r="D1" s="14" t="s">
        <v>3</v>
      </c>
      <c r="E1" s="12" t="s">
        <v>4</v>
      </c>
      <c r="F1" s="12" t="s">
        <v>5</v>
      </c>
      <c r="G1" s="12" t="s">
        <v>6</v>
      </c>
      <c r="H1" s="15" t="s">
        <v>7</v>
      </c>
      <c r="I1" s="16" t="s">
        <v>8</v>
      </c>
      <c r="J1" s="17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9" t="s">
        <v>14</v>
      </c>
      <c r="P1" s="18" t="s">
        <v>15</v>
      </c>
      <c r="Q1" s="17" t="s">
        <v>16</v>
      </c>
      <c r="R1" s="17" t="s">
        <v>17</v>
      </c>
      <c r="S1" s="20" t="s">
        <v>18</v>
      </c>
      <c r="T1" s="20" t="s">
        <v>19</v>
      </c>
      <c r="U1" s="20" t="s">
        <v>20</v>
      </c>
      <c r="V1" s="21" t="s">
        <v>18</v>
      </c>
      <c r="W1" s="21" t="s">
        <v>19</v>
      </c>
      <c r="X1" s="21" t="s">
        <v>20</v>
      </c>
      <c r="Y1" s="12" t="s">
        <v>21</v>
      </c>
      <c r="Z1" s="22" t="s">
        <v>22</v>
      </c>
      <c r="AC1" s="23" t="s">
        <v>23</v>
      </c>
      <c r="AD1" s="23" t="s">
        <v>24</v>
      </c>
    </row>
    <row r="2" s="1" customFormat="true" ht="14.25" hidden="false" customHeight="false" outlineLevel="0" collapsed="false">
      <c r="A2" s="12"/>
      <c r="B2" s="13"/>
      <c r="C2" s="14"/>
      <c r="D2" s="14"/>
      <c r="E2" s="12"/>
      <c r="F2" s="12"/>
      <c r="G2" s="12"/>
      <c r="H2" s="15"/>
      <c r="I2" s="16"/>
      <c r="J2" s="17"/>
      <c r="K2" s="18"/>
      <c r="L2" s="18"/>
      <c r="M2" s="18"/>
      <c r="N2" s="18"/>
      <c r="O2" s="19"/>
      <c r="P2" s="18"/>
      <c r="Q2" s="17"/>
      <c r="R2" s="17" t="s">
        <v>25</v>
      </c>
      <c r="S2" s="20" t="s">
        <v>26</v>
      </c>
      <c r="T2" s="20" t="s">
        <v>26</v>
      </c>
      <c r="U2" s="20" t="s">
        <v>26</v>
      </c>
      <c r="V2" s="21" t="s">
        <v>27</v>
      </c>
      <c r="W2" s="21" t="s">
        <v>27</v>
      </c>
      <c r="X2" s="21" t="s">
        <v>27</v>
      </c>
      <c r="Y2" s="12"/>
      <c r="Z2" s="22"/>
      <c r="AC2" s="24" t="s">
        <v>28</v>
      </c>
      <c r="AD2" s="24" t="s">
        <v>28</v>
      </c>
    </row>
    <row r="3" s="22" customFormat="true" ht="15" hidden="false" customHeight="true" outlineLevel="0" collapsed="false">
      <c r="A3" s="1" t="s">
        <v>29</v>
      </c>
      <c r="B3" s="25" t="n">
        <v>44620</v>
      </c>
      <c r="C3" s="26" t="s">
        <v>30</v>
      </c>
      <c r="D3" s="26" t="n">
        <v>44621</v>
      </c>
      <c r="E3" s="27" t="s">
        <v>31</v>
      </c>
      <c r="F3" s="27" t="s">
        <v>32</v>
      </c>
      <c r="G3" s="27" t="n">
        <v>531172312</v>
      </c>
      <c r="H3" s="28" t="n">
        <v>0.333333333333333</v>
      </c>
      <c r="I3" s="5" t="s">
        <v>33</v>
      </c>
      <c r="J3" s="29" t="n">
        <v>12</v>
      </c>
      <c r="K3" s="30" t="n">
        <v>13.3</v>
      </c>
      <c r="L3" s="30" t="n">
        <v>1.5</v>
      </c>
      <c r="M3" s="30" t="n">
        <v>916</v>
      </c>
      <c r="N3" s="30" t="n">
        <v>8.38</v>
      </c>
      <c r="O3" s="31" t="n">
        <v>38099</v>
      </c>
      <c r="P3" s="30" t="n">
        <f aca="false">(O3*1000)/24/60/60</f>
        <v>440.960648148148</v>
      </c>
      <c r="Q3" s="29" t="s">
        <v>34</v>
      </c>
      <c r="R3" s="29" t="n">
        <v>1.1</v>
      </c>
      <c r="S3" s="9" t="n">
        <v>0</v>
      </c>
      <c r="T3" s="9" t="n">
        <v>0</v>
      </c>
      <c r="U3" s="9" t="n">
        <v>13209.3131244556</v>
      </c>
      <c r="V3" s="10" t="n">
        <f aca="false">S3/1000</f>
        <v>0</v>
      </c>
      <c r="W3" s="10" t="n">
        <f aca="false">T3/1000</f>
        <v>0</v>
      </c>
      <c r="X3" s="10" t="n">
        <f aca="false">U3/1000</f>
        <v>13.2093131244556</v>
      </c>
      <c r="Y3" s="1"/>
      <c r="Z3" s="32"/>
      <c r="AC3" s="33" t="n">
        <f aca="false">S3/U3</f>
        <v>0</v>
      </c>
      <c r="AD3" s="33" t="n">
        <f aca="false">T3/U3</f>
        <v>0</v>
      </c>
    </row>
    <row r="4" s="32" customFormat="true" ht="14.25" hidden="false" customHeight="false" outlineLevel="0" collapsed="false">
      <c r="A4" s="1" t="s">
        <v>29</v>
      </c>
      <c r="B4" s="25" t="n">
        <v>44620</v>
      </c>
      <c r="C4" s="26" t="s">
        <v>30</v>
      </c>
      <c r="D4" s="26" t="n">
        <v>44621</v>
      </c>
      <c r="E4" s="27" t="s">
        <v>35</v>
      </c>
      <c r="F4" s="27" t="s">
        <v>36</v>
      </c>
      <c r="G4" s="27" t="n">
        <v>531171580</v>
      </c>
      <c r="H4" s="28" t="n">
        <v>0.333333333333333</v>
      </c>
      <c r="I4" s="5" t="s">
        <v>33</v>
      </c>
      <c r="J4" s="29" t="n">
        <v>12</v>
      </c>
      <c r="K4" s="30" t="n">
        <v>11.8</v>
      </c>
      <c r="L4" s="30" t="n">
        <v>1.5</v>
      </c>
      <c r="M4" s="30" t="n">
        <v>578</v>
      </c>
      <c r="N4" s="30" t="n">
        <v>6.92</v>
      </c>
      <c r="O4" s="31" t="n">
        <v>38099</v>
      </c>
      <c r="P4" s="30" t="n">
        <f aca="false">(O4*1000)/24/60/60</f>
        <v>440.960648148148</v>
      </c>
      <c r="Q4" s="29" t="s">
        <v>34</v>
      </c>
      <c r="R4" s="29" t="n">
        <v>8.6</v>
      </c>
      <c r="S4" s="9" t="n">
        <v>5754.24255833863</v>
      </c>
      <c r="T4" s="9" t="n">
        <v>3463.69759101506</v>
      </c>
      <c r="U4" s="9" t="n">
        <v>5426348.22385588</v>
      </c>
      <c r="V4" s="10" t="n">
        <f aca="false">S4/1000</f>
        <v>5.75424255833863</v>
      </c>
      <c r="W4" s="10" t="n">
        <f aca="false">T4/1000</f>
        <v>3.46369759101506</v>
      </c>
      <c r="X4" s="10" t="n">
        <f aca="false">U4/1000</f>
        <v>5426.34822385588</v>
      </c>
      <c r="Y4" s="1" t="n">
        <f aca="false">T4/1000</f>
        <v>3.46369759101506</v>
      </c>
      <c r="Z4" s="34"/>
      <c r="AC4" s="33" t="n">
        <f aca="false">S4/U4</f>
        <v>0.00106042633479385</v>
      </c>
      <c r="AD4" s="33" t="n">
        <f aca="false">T4/U4</f>
        <v>0.000638310968652471</v>
      </c>
    </row>
    <row r="5" s="34" customFormat="true" ht="14.25" hidden="false" customHeight="false" outlineLevel="0" collapsed="false">
      <c r="A5" s="1" t="s">
        <v>29</v>
      </c>
      <c r="B5" s="25" t="n">
        <v>44622</v>
      </c>
      <c r="C5" s="26" t="s">
        <v>30</v>
      </c>
      <c r="D5" s="26" t="n">
        <v>44623</v>
      </c>
      <c r="E5" s="27" t="s">
        <v>31</v>
      </c>
      <c r="F5" s="27" t="s">
        <v>32</v>
      </c>
      <c r="G5" s="27" t="n">
        <v>531171358</v>
      </c>
      <c r="H5" s="28" t="n">
        <v>0.333333333333333</v>
      </c>
      <c r="I5" s="5" t="s">
        <v>33</v>
      </c>
      <c r="J5" s="29" t="n">
        <v>12</v>
      </c>
      <c r="K5" s="30" t="n">
        <v>12</v>
      </c>
      <c r="L5" s="30" t="n">
        <v>-2</v>
      </c>
      <c r="M5" s="30" t="n">
        <v>616</v>
      </c>
      <c r="N5" s="30" t="n">
        <v>7.08</v>
      </c>
      <c r="O5" s="31" t="n">
        <v>39278</v>
      </c>
      <c r="P5" s="30" t="n">
        <f aca="false">(O5*1000)/24/60/60</f>
        <v>454.606481481482</v>
      </c>
      <c r="Q5" s="29" t="s">
        <v>37</v>
      </c>
      <c r="R5" s="29" t="n">
        <v>6.9</v>
      </c>
      <c r="S5" s="9" t="n">
        <v>69802.0873955279</v>
      </c>
      <c r="T5" s="9" t="n">
        <v>32133.5542825623</v>
      </c>
      <c r="U5" s="9" t="n">
        <v>52128395.943441</v>
      </c>
      <c r="V5" s="10" t="n">
        <f aca="false">S5/1000</f>
        <v>69.8020873955279</v>
      </c>
      <c r="W5" s="10" t="n">
        <f aca="false">T5/1000</f>
        <v>32.1335542825623</v>
      </c>
      <c r="X5" s="10" t="n">
        <f aca="false">U5/1000</f>
        <v>52128.3959434409</v>
      </c>
      <c r="Y5" s="1"/>
      <c r="AC5" s="33" t="n">
        <f aca="false">S5/U5</f>
        <v>0.001339041536426</v>
      </c>
      <c r="AD5" s="33" t="n">
        <f aca="false">T5/U5</f>
        <v>0.000616430904903097</v>
      </c>
    </row>
    <row r="6" s="34" customFormat="true" ht="14.25" hidden="false" customHeight="false" outlineLevel="0" collapsed="false">
      <c r="A6" s="1" t="s">
        <v>29</v>
      </c>
      <c r="B6" s="25" t="n">
        <v>44622</v>
      </c>
      <c r="C6" s="26" t="s">
        <v>30</v>
      </c>
      <c r="D6" s="26" t="n">
        <v>44623</v>
      </c>
      <c r="E6" s="27" t="s">
        <v>35</v>
      </c>
      <c r="F6" s="27" t="s">
        <v>36</v>
      </c>
      <c r="G6" s="27" t="n">
        <v>531172840</v>
      </c>
      <c r="H6" s="28" t="n">
        <v>0.333333333333333</v>
      </c>
      <c r="I6" s="5" t="s">
        <v>33</v>
      </c>
      <c r="J6" s="29" t="n">
        <v>12</v>
      </c>
      <c r="K6" s="30" t="n">
        <v>15.6</v>
      </c>
      <c r="L6" s="30" t="n">
        <v>-2</v>
      </c>
      <c r="M6" s="30" t="n">
        <v>1349</v>
      </c>
      <c r="N6" s="30" t="n">
        <v>8.4</v>
      </c>
      <c r="O6" s="31" t="n">
        <v>39278</v>
      </c>
      <c r="P6" s="30" t="n">
        <f aca="false">(O6*1000)/24/60/60</f>
        <v>454.606481481482</v>
      </c>
      <c r="Q6" s="29" t="s">
        <v>34</v>
      </c>
      <c r="R6" s="29" t="n">
        <v>3</v>
      </c>
      <c r="S6" s="9" t="n">
        <v>11913.2847940839</v>
      </c>
      <c r="T6" s="9" t="n">
        <v>8173.14001577588</v>
      </c>
      <c r="U6" s="9" t="n">
        <v>7364684.80990078</v>
      </c>
      <c r="V6" s="10" t="n">
        <f aca="false">S6/1000</f>
        <v>11.9132847940839</v>
      </c>
      <c r="W6" s="10" t="n">
        <f aca="false">T6/1000</f>
        <v>8.17314001577588</v>
      </c>
      <c r="X6" s="10" t="n">
        <f aca="false">U6/1000</f>
        <v>7364.68480990078</v>
      </c>
      <c r="Y6" s="1"/>
      <c r="AC6" s="33" t="n">
        <f aca="false">S6/U6</f>
        <v>0.00161762317079315</v>
      </c>
      <c r="AD6" s="33" t="n">
        <f aca="false">T6/U6</f>
        <v>0.00110977458326366</v>
      </c>
    </row>
    <row r="7" s="34" customFormat="true" ht="14.25" hidden="false" customHeight="false" outlineLevel="0" collapsed="false">
      <c r="A7" s="1" t="s">
        <v>29</v>
      </c>
      <c r="B7" s="25" t="n">
        <v>44627</v>
      </c>
      <c r="C7" s="26" t="s">
        <v>30</v>
      </c>
      <c r="D7" s="26" t="n">
        <v>44628</v>
      </c>
      <c r="E7" s="27" t="s">
        <v>31</v>
      </c>
      <c r="F7" s="27" t="s">
        <v>32</v>
      </c>
      <c r="G7" s="27" t="n">
        <v>531171377</v>
      </c>
      <c r="H7" s="28" t="n">
        <v>0.333333333333333</v>
      </c>
      <c r="I7" s="5" t="s">
        <v>33</v>
      </c>
      <c r="J7" s="29" t="n">
        <v>12</v>
      </c>
      <c r="K7" s="30" t="n">
        <v>13.05</v>
      </c>
      <c r="L7" s="30" t="n">
        <v>1</v>
      </c>
      <c r="M7" s="30" t="n">
        <v>740</v>
      </c>
      <c r="N7" s="30" t="n">
        <v>8.02</v>
      </c>
      <c r="O7" s="31" t="n">
        <v>38538</v>
      </c>
      <c r="P7" s="30" t="n">
        <f aca="false">(O7*1000)/24/60/60</f>
        <v>446.041666666667</v>
      </c>
      <c r="Q7" s="29" t="s">
        <v>37</v>
      </c>
      <c r="R7" s="29" t="n">
        <v>14.5</v>
      </c>
      <c r="S7" s="9" t="n">
        <v>71179.1496998459</v>
      </c>
      <c r="T7" s="9" t="n">
        <v>22482.9654597618</v>
      </c>
      <c r="U7" s="9" t="n">
        <v>42685558.626143</v>
      </c>
      <c r="V7" s="10" t="n">
        <f aca="false">S7/1000</f>
        <v>71.1791496998459</v>
      </c>
      <c r="W7" s="10" t="n">
        <f aca="false">T7/1000</f>
        <v>22.4829654597618</v>
      </c>
      <c r="X7" s="10" t="n">
        <f aca="false">U7/1000</f>
        <v>42685.558626143</v>
      </c>
      <c r="Y7" s="1"/>
      <c r="AC7" s="33" t="n">
        <f aca="false">S7/U7</f>
        <v>0.00166752297476674</v>
      </c>
      <c r="AD7" s="33" t="n">
        <f aca="false">T7/U7</f>
        <v>0.000526711285582006</v>
      </c>
    </row>
    <row r="8" s="34" customFormat="true" ht="14.25" hidden="false" customHeight="false" outlineLevel="0" collapsed="false">
      <c r="A8" s="1" t="s">
        <v>29</v>
      </c>
      <c r="B8" s="25" t="n">
        <v>44627</v>
      </c>
      <c r="C8" s="26" t="s">
        <v>30</v>
      </c>
      <c r="D8" s="26" t="n">
        <v>44628</v>
      </c>
      <c r="E8" s="27" t="s">
        <v>35</v>
      </c>
      <c r="F8" s="27" t="s">
        <v>36</v>
      </c>
      <c r="G8" s="27" t="n">
        <v>531172975</v>
      </c>
      <c r="H8" s="28" t="n">
        <v>0.333333333333333</v>
      </c>
      <c r="I8" s="5" t="s">
        <v>33</v>
      </c>
      <c r="J8" s="29" t="n">
        <v>12</v>
      </c>
      <c r="K8" s="30" t="n">
        <v>14.38</v>
      </c>
      <c r="L8" s="30" t="n">
        <v>1</v>
      </c>
      <c r="M8" s="30" t="n">
        <v>640</v>
      </c>
      <c r="N8" s="30" t="n">
        <v>5.98</v>
      </c>
      <c r="O8" s="31" t="n">
        <v>38538</v>
      </c>
      <c r="P8" s="30" t="n">
        <f aca="false">(O8*1000)/24/60/60</f>
        <v>446.041666666667</v>
      </c>
      <c r="Q8" s="29" t="s">
        <v>34</v>
      </c>
      <c r="R8" s="29" t="n">
        <v>7.6</v>
      </c>
      <c r="S8" s="9" t="n">
        <v>17522.5834622405</v>
      </c>
      <c r="T8" s="9" t="n">
        <v>10906.01757883</v>
      </c>
      <c r="U8" s="9" t="n">
        <v>8340562.35263117</v>
      </c>
      <c r="V8" s="10" t="n">
        <f aca="false">S8/1000</f>
        <v>17.5225834622405</v>
      </c>
      <c r="W8" s="10" t="n">
        <f aca="false">T8/1000</f>
        <v>10.90601757883</v>
      </c>
      <c r="X8" s="10" t="n">
        <f aca="false">U8/1000</f>
        <v>8340.56235263117</v>
      </c>
      <c r="Y8" s="1"/>
      <c r="AC8" s="33" t="n">
        <f aca="false">S8/U8</f>
        <v>0.0021008875326869</v>
      </c>
      <c r="AD8" s="33" t="n">
        <f aca="false">T8/U8</f>
        <v>0.00130758780016668</v>
      </c>
    </row>
    <row r="9" s="34" customFormat="true" ht="14.25" hidden="false" customHeight="false" outlineLevel="0" collapsed="false">
      <c r="A9" s="1" t="s">
        <v>29</v>
      </c>
      <c r="B9" s="25" t="n">
        <v>44629</v>
      </c>
      <c r="C9" s="26" t="s">
        <v>30</v>
      </c>
      <c r="D9" s="26" t="n">
        <v>44630</v>
      </c>
      <c r="E9" s="27" t="s">
        <v>31</v>
      </c>
      <c r="F9" s="27" t="s">
        <v>32</v>
      </c>
      <c r="G9" s="27" t="n">
        <v>531171949</v>
      </c>
      <c r="H9" s="28" t="n">
        <v>0.333333333333333</v>
      </c>
      <c r="I9" s="5" t="s">
        <v>33</v>
      </c>
      <c r="J9" s="29" t="n">
        <v>12</v>
      </c>
      <c r="K9" s="30" t="n">
        <v>15.56</v>
      </c>
      <c r="L9" s="30" t="n">
        <v>1</v>
      </c>
      <c r="M9" s="30" t="n">
        <v>1511</v>
      </c>
      <c r="N9" s="30" t="n">
        <v>8.12</v>
      </c>
      <c r="O9" s="31" t="n">
        <v>38155</v>
      </c>
      <c r="P9" s="30" t="n">
        <f aca="false">(O9*1000)/24/60/60</f>
        <v>441.608796296296</v>
      </c>
      <c r="Q9" s="29" t="s">
        <v>37</v>
      </c>
      <c r="R9" s="29" t="n">
        <v>11.5</v>
      </c>
      <c r="S9" s="9" t="n">
        <v>72760.8442075521</v>
      </c>
      <c r="T9" s="9" t="n">
        <v>28855.4838497299</v>
      </c>
      <c r="U9" s="9" t="n">
        <v>26709841.7001215</v>
      </c>
      <c r="V9" s="10" t="n">
        <f aca="false">S9/1000</f>
        <v>72.7608442075521</v>
      </c>
      <c r="W9" s="10" t="n">
        <f aca="false">T9/1000</f>
        <v>28.8554838497299</v>
      </c>
      <c r="X9" s="10" t="n">
        <f aca="false">U9/1000</f>
        <v>26709.8417001215</v>
      </c>
      <c r="Y9" s="1"/>
      <c r="AC9" s="33" t="n">
        <f aca="false">S9/U9</f>
        <v>0.00272412113199537</v>
      </c>
      <c r="AD9" s="33" t="n">
        <f aca="false">T9/U9</f>
        <v>0.00108033151875994</v>
      </c>
    </row>
    <row r="10" s="34" customFormat="true" ht="14.25" hidden="false" customHeight="false" outlineLevel="0" collapsed="false">
      <c r="A10" s="1" t="s">
        <v>29</v>
      </c>
      <c r="B10" s="25" t="n">
        <v>44629</v>
      </c>
      <c r="C10" s="26" t="s">
        <v>30</v>
      </c>
      <c r="D10" s="26" t="n">
        <v>44630</v>
      </c>
      <c r="E10" s="27" t="s">
        <v>35</v>
      </c>
      <c r="F10" s="27" t="s">
        <v>36</v>
      </c>
      <c r="G10" s="27" t="n">
        <v>531172243</v>
      </c>
      <c r="H10" s="28" t="n">
        <v>0.333333333333333</v>
      </c>
      <c r="I10" s="5" t="s">
        <v>33</v>
      </c>
      <c r="J10" s="29" t="n">
        <v>12</v>
      </c>
      <c r="K10" s="30" t="n">
        <v>13.91</v>
      </c>
      <c r="L10" s="30" t="n">
        <v>1</v>
      </c>
      <c r="M10" s="30" t="n">
        <v>683</v>
      </c>
      <c r="N10" s="30" t="n">
        <v>6.96</v>
      </c>
      <c r="O10" s="31" t="n">
        <v>38155</v>
      </c>
      <c r="P10" s="30" t="n">
        <f aca="false">(O10*1000)/24/60/60</f>
        <v>441.608796296296</v>
      </c>
      <c r="Q10" s="29" t="s">
        <v>34</v>
      </c>
      <c r="R10" s="29" t="n">
        <v>5.6</v>
      </c>
      <c r="S10" s="9" t="n">
        <v>16728.1425901377</v>
      </c>
      <c r="T10" s="9" t="n">
        <v>8936.45416059012</v>
      </c>
      <c r="U10" s="9" t="n">
        <v>3611151.04326161</v>
      </c>
      <c r="V10" s="10" t="n">
        <f aca="false">S10/1000</f>
        <v>16.7281425901377</v>
      </c>
      <c r="W10" s="10" t="n">
        <f aca="false">T10/1000</f>
        <v>8.93645416059012</v>
      </c>
      <c r="X10" s="10" t="n">
        <f aca="false">U10/1000</f>
        <v>3611.15104326161</v>
      </c>
      <c r="Y10" s="1"/>
      <c r="AC10" s="33" t="n">
        <f aca="false">S10/U10</f>
        <v>0.0046323574920391</v>
      </c>
      <c r="AD10" s="33" t="n">
        <f aca="false">T10/U10</f>
        <v>0.00247468301755627</v>
      </c>
    </row>
    <row r="11" s="34" customFormat="true" ht="14.25" hidden="false" customHeight="false" outlineLevel="0" collapsed="false">
      <c r="A11" s="1" t="s">
        <v>29</v>
      </c>
      <c r="B11" s="25" t="n">
        <v>44634</v>
      </c>
      <c r="C11" s="26" t="s">
        <v>30</v>
      </c>
      <c r="D11" s="26" t="n">
        <v>44635</v>
      </c>
      <c r="E11" s="27" t="s">
        <v>31</v>
      </c>
      <c r="F11" s="27" t="s">
        <v>32</v>
      </c>
      <c r="G11" s="27" t="n">
        <v>531171517</v>
      </c>
      <c r="H11" s="28" t="n">
        <v>0.333333333333333</v>
      </c>
      <c r="I11" s="5" t="s">
        <v>33</v>
      </c>
      <c r="J11" s="29" t="n">
        <v>12</v>
      </c>
      <c r="K11" s="30" t="n">
        <v>14</v>
      </c>
      <c r="L11" s="30" t="n">
        <v>6</v>
      </c>
      <c r="M11" s="30" t="n">
        <v>1090</v>
      </c>
      <c r="N11" s="30" t="n">
        <v>8.19</v>
      </c>
      <c r="O11" s="31" t="n">
        <v>34958</v>
      </c>
      <c r="P11" s="30" t="n">
        <f aca="false">(O11*1000)/24/60/60</f>
        <v>404.606481481482</v>
      </c>
      <c r="Q11" s="29" t="s">
        <v>37</v>
      </c>
      <c r="R11" s="29" t="n">
        <v>10.5</v>
      </c>
      <c r="S11" s="9" t="n">
        <v>56579.7815346081</v>
      </c>
      <c r="T11" s="9" t="n">
        <v>21823.6889092221</v>
      </c>
      <c r="U11" s="9" t="n">
        <v>90804935.5558932</v>
      </c>
      <c r="V11" s="10" t="n">
        <f aca="false">S11/1000</f>
        <v>56.5797815346081</v>
      </c>
      <c r="W11" s="10" t="n">
        <f aca="false">T11/1000</f>
        <v>21.8236889092221</v>
      </c>
      <c r="X11" s="10" t="n">
        <f aca="false">U11/1000</f>
        <v>90804.9355558932</v>
      </c>
      <c r="Y11" s="1"/>
      <c r="AC11" s="33" t="n">
        <f aca="false">S11/U11</f>
        <v>0.000623091478323681</v>
      </c>
      <c r="AD11" s="33" t="n">
        <f aca="false">T11/U11</f>
        <v>0.000240335933015325</v>
      </c>
    </row>
    <row r="12" s="34" customFormat="true" ht="14.25" hidden="false" customHeight="false" outlineLevel="0" collapsed="false">
      <c r="A12" s="1" t="s">
        <v>29</v>
      </c>
      <c r="B12" s="25" t="n">
        <v>44634</v>
      </c>
      <c r="C12" s="26" t="s">
        <v>30</v>
      </c>
      <c r="D12" s="26" t="n">
        <v>44635</v>
      </c>
      <c r="E12" s="27" t="s">
        <v>35</v>
      </c>
      <c r="F12" s="27" t="s">
        <v>36</v>
      </c>
      <c r="G12" s="27" t="n">
        <v>531172457</v>
      </c>
      <c r="H12" s="28" t="n">
        <v>0.333333333333333</v>
      </c>
      <c r="I12" s="5" t="s">
        <v>33</v>
      </c>
      <c r="J12" s="29" t="n">
        <v>12</v>
      </c>
      <c r="K12" s="30" t="n">
        <v>13.8</v>
      </c>
      <c r="L12" s="30" t="n">
        <v>6</v>
      </c>
      <c r="M12" s="30" t="n">
        <v>516</v>
      </c>
      <c r="N12" s="30" t="n">
        <v>6.68</v>
      </c>
      <c r="O12" s="31" t="n">
        <v>34877</v>
      </c>
      <c r="P12" s="30" t="n">
        <f aca="false">(O12*1000)/24/60/60</f>
        <v>403.668981481482</v>
      </c>
      <c r="Q12" s="29" t="s">
        <v>37</v>
      </c>
      <c r="R12" s="29" t="n">
        <v>2.4</v>
      </c>
      <c r="S12" s="9" t="n">
        <v>9823.09213114015</v>
      </c>
      <c r="T12" s="9" t="n">
        <v>6083.15514416229</v>
      </c>
      <c r="U12" s="9" t="n">
        <v>10880176.0543215</v>
      </c>
      <c r="V12" s="10" t="n">
        <f aca="false">S12/1000</f>
        <v>9.82309213114015</v>
      </c>
      <c r="W12" s="10" t="n">
        <f aca="false">T12/1000</f>
        <v>6.08315514416229</v>
      </c>
      <c r="X12" s="10" t="n">
        <f aca="false">U12/1000</f>
        <v>10880.1760543215</v>
      </c>
      <c r="Y12" s="1"/>
      <c r="AC12" s="33" t="n">
        <f aca="false">S12/U12</f>
        <v>0.000902843123318624</v>
      </c>
      <c r="AD12" s="33" t="n">
        <f aca="false">T12/U12</f>
        <v>0.000559104477151002</v>
      </c>
    </row>
    <row r="13" s="34" customFormat="true" ht="14.25" hidden="false" customHeight="false" outlineLevel="0" collapsed="false">
      <c r="A13" s="1" t="s">
        <v>29</v>
      </c>
      <c r="B13" s="25" t="n">
        <v>44636</v>
      </c>
      <c r="C13" s="26" t="s">
        <v>30</v>
      </c>
      <c r="D13" s="26" t="n">
        <v>44637</v>
      </c>
      <c r="E13" s="27" t="s">
        <v>31</v>
      </c>
      <c r="F13" s="27" t="s">
        <v>32</v>
      </c>
      <c r="G13" s="27" t="n">
        <v>531171240</v>
      </c>
      <c r="H13" s="28" t="n">
        <v>0.333333333333333</v>
      </c>
      <c r="I13" s="5" t="s">
        <v>38</v>
      </c>
      <c r="J13" s="29" t="n">
        <v>12</v>
      </c>
      <c r="K13" s="30" t="n">
        <v>13.3</v>
      </c>
      <c r="L13" s="30" t="n">
        <v>10</v>
      </c>
      <c r="M13" s="30" t="n">
        <v>853</v>
      </c>
      <c r="N13" s="30" t="n">
        <v>8.15</v>
      </c>
      <c r="O13" s="31" t="n">
        <v>18095</v>
      </c>
      <c r="P13" s="30" t="n">
        <f aca="false">(O13*1000)/24/60/60</f>
        <v>209.43287037037</v>
      </c>
      <c r="Q13" s="29" t="s">
        <v>37</v>
      </c>
      <c r="R13" s="29" t="n">
        <v>24.1</v>
      </c>
      <c r="S13" s="9" t="n">
        <v>109799.433281636</v>
      </c>
      <c r="T13" s="9" t="n">
        <v>39126.0011027829</v>
      </c>
      <c r="U13" s="9" t="n">
        <v>52885184.5577794</v>
      </c>
      <c r="V13" s="10" t="n">
        <f aca="false">S13/1000</f>
        <v>109.799433281636</v>
      </c>
      <c r="W13" s="10" t="n">
        <f aca="false">T13/1000</f>
        <v>39.1260011027829</v>
      </c>
      <c r="X13" s="10" t="n">
        <f aca="false">U13/1000</f>
        <v>52885.1845577794</v>
      </c>
      <c r="Y13" s="1"/>
      <c r="AC13" s="33" t="n">
        <f aca="false">S13/U13</f>
        <v>0.00207618512064897</v>
      </c>
      <c r="AD13" s="33" t="n">
        <f aca="false">T13/U13</f>
        <v>0.000739829149315647</v>
      </c>
    </row>
    <row r="14" s="34" customFormat="true" ht="14.25" hidden="false" customHeight="false" outlineLevel="0" collapsed="false">
      <c r="A14" s="1" t="s">
        <v>29</v>
      </c>
      <c r="B14" s="25" t="n">
        <v>44636</v>
      </c>
      <c r="C14" s="26" t="s">
        <v>30</v>
      </c>
      <c r="D14" s="26" t="n">
        <v>44637</v>
      </c>
      <c r="E14" s="27" t="s">
        <v>35</v>
      </c>
      <c r="F14" s="27" t="s">
        <v>36</v>
      </c>
      <c r="G14" s="27" t="n">
        <v>531172585</v>
      </c>
      <c r="H14" s="28" t="n">
        <v>0.333333333333333</v>
      </c>
      <c r="I14" s="5" t="s">
        <v>38</v>
      </c>
      <c r="J14" s="29" t="n">
        <v>12</v>
      </c>
      <c r="K14" s="30" t="n">
        <v>14.2</v>
      </c>
      <c r="L14" s="30" t="n">
        <v>10</v>
      </c>
      <c r="M14" s="30" t="n">
        <v>542</v>
      </c>
      <c r="N14" s="30" t="n">
        <v>7.45</v>
      </c>
      <c r="O14" s="31" t="n">
        <v>20756</v>
      </c>
      <c r="P14" s="30" t="n">
        <f aca="false">(O14*1000)/24/60/60</f>
        <v>240.231481481481</v>
      </c>
      <c r="Q14" s="29" t="s">
        <v>37</v>
      </c>
      <c r="R14" s="29" t="n">
        <v>6.1</v>
      </c>
      <c r="S14" s="9" t="n">
        <v>76402.6976462743</v>
      </c>
      <c r="T14" s="9" t="n">
        <v>33523.754221536</v>
      </c>
      <c r="U14" s="9" t="n">
        <v>24866230.7553667</v>
      </c>
      <c r="V14" s="10" t="n">
        <f aca="false">S14/1000</f>
        <v>76.4026976462743</v>
      </c>
      <c r="W14" s="10" t="n">
        <f aca="false">T14/1000</f>
        <v>33.523754221536</v>
      </c>
      <c r="X14" s="10" t="n">
        <f aca="false">U14/1000</f>
        <v>24866.2307553667</v>
      </c>
      <c r="Y14" s="1"/>
      <c r="AC14" s="33" t="n">
        <f aca="false">S14/U14</f>
        <v>0.00307254840502053</v>
      </c>
      <c r="AD14" s="33" t="n">
        <f aca="false">T14/U14</f>
        <v>0.0013481638834346</v>
      </c>
    </row>
    <row r="15" s="34" customFormat="true" ht="14.25" hidden="false" customHeight="false" outlineLevel="0" collapsed="false">
      <c r="A15" s="1" t="s">
        <v>29</v>
      </c>
      <c r="B15" s="25" t="n">
        <v>44641</v>
      </c>
      <c r="C15" s="26" t="s">
        <v>30</v>
      </c>
      <c r="D15" s="26" t="n">
        <v>44642</v>
      </c>
      <c r="E15" s="27" t="s">
        <v>31</v>
      </c>
      <c r="F15" s="27" t="s">
        <v>32</v>
      </c>
      <c r="G15" s="27" t="n">
        <v>531171237</v>
      </c>
      <c r="H15" s="28" t="n">
        <v>0.333333333333333</v>
      </c>
      <c r="I15" s="5" t="s">
        <v>39</v>
      </c>
      <c r="J15" s="29" t="n">
        <v>10</v>
      </c>
      <c r="K15" s="30" t="n">
        <v>15.4</v>
      </c>
      <c r="L15" s="30" t="n">
        <v>8</v>
      </c>
      <c r="M15" s="30" t="n">
        <v>1331</v>
      </c>
      <c r="N15" s="30" t="n">
        <v>8.22</v>
      </c>
      <c r="O15" s="31" t="n">
        <v>18157</v>
      </c>
      <c r="P15" s="30" t="n">
        <f aca="false">(O15*1000)/24/60/60</f>
        <v>210.150462962963</v>
      </c>
      <c r="Q15" s="29" t="s">
        <v>37</v>
      </c>
      <c r="R15" s="29" t="n">
        <v>28.5</v>
      </c>
      <c r="S15" s="9" t="n">
        <v>65029.8141446619</v>
      </c>
      <c r="T15" s="9" t="n">
        <v>37935.2455778697</v>
      </c>
      <c r="U15" s="9" t="n">
        <v>51441639.8246053</v>
      </c>
      <c r="V15" s="10" t="n">
        <f aca="false">S15/1000</f>
        <v>65.0298141446619</v>
      </c>
      <c r="W15" s="10" t="n">
        <f aca="false">T15/1000</f>
        <v>37.9352455778697</v>
      </c>
      <c r="X15" s="10" t="n">
        <f aca="false">U15/1000</f>
        <v>51441.6398246053</v>
      </c>
      <c r="Y15" s="1"/>
      <c r="AC15" s="33" t="n">
        <f aca="false">S15/U15</f>
        <v>0.00126414737878471</v>
      </c>
      <c r="AD15" s="33" t="n">
        <f aca="false">T15/U15</f>
        <v>0.000737442385336338</v>
      </c>
    </row>
    <row r="16" s="34" customFormat="true" ht="14.25" hidden="false" customHeight="false" outlineLevel="0" collapsed="false">
      <c r="A16" s="1" t="s">
        <v>29</v>
      </c>
      <c r="B16" s="25" t="n">
        <v>44641</v>
      </c>
      <c r="C16" s="26" t="s">
        <v>30</v>
      </c>
      <c r="D16" s="26" t="n">
        <v>44642</v>
      </c>
      <c r="E16" s="27" t="s">
        <v>35</v>
      </c>
      <c r="F16" s="27" t="s">
        <v>36</v>
      </c>
      <c r="G16" s="27" t="n">
        <v>531172566</v>
      </c>
      <c r="H16" s="28" t="n">
        <v>0.333333333333333</v>
      </c>
      <c r="I16" s="5" t="s">
        <v>39</v>
      </c>
      <c r="J16" s="29" t="n">
        <v>10</v>
      </c>
      <c r="K16" s="30" t="n">
        <v>12.8</v>
      </c>
      <c r="L16" s="30" t="n">
        <v>8</v>
      </c>
      <c r="M16" s="30" t="n">
        <v>695</v>
      </c>
      <c r="N16" s="30" t="n">
        <v>7.06</v>
      </c>
      <c r="O16" s="31" t="n">
        <v>18136</v>
      </c>
      <c r="P16" s="30" t="n">
        <f aca="false">(O16*1000)/24/60/60</f>
        <v>209.907407407407</v>
      </c>
      <c r="Q16" s="29" t="s">
        <v>37</v>
      </c>
      <c r="R16" s="29" t="n">
        <v>4.8</v>
      </c>
      <c r="S16" s="9" t="n">
        <v>65029.8141446619</v>
      </c>
      <c r="T16" s="9" t="n">
        <v>37935.2455778697</v>
      </c>
      <c r="U16" s="9" t="n">
        <v>51441639.8246053</v>
      </c>
      <c r="V16" s="10" t="n">
        <f aca="false">S16/1000</f>
        <v>65.0298141446619</v>
      </c>
      <c r="W16" s="10" t="n">
        <f aca="false">T16/1000</f>
        <v>37.9352455778697</v>
      </c>
      <c r="X16" s="10" t="n">
        <f aca="false">U16/1000</f>
        <v>51441.6398246053</v>
      </c>
      <c r="Y16" s="1"/>
      <c r="AC16" s="33" t="n">
        <f aca="false">S16/U16</f>
        <v>0.00126414737878471</v>
      </c>
      <c r="AD16" s="33" t="n">
        <f aca="false">T16/U16</f>
        <v>0.000737442385336338</v>
      </c>
    </row>
    <row r="17" s="34" customFormat="true" ht="14.25" hidden="false" customHeight="false" outlineLevel="0" collapsed="false">
      <c r="A17" s="1" t="s">
        <v>29</v>
      </c>
      <c r="B17" s="25" t="n">
        <v>44643</v>
      </c>
      <c r="C17" s="26" t="s">
        <v>30</v>
      </c>
      <c r="D17" s="26" t="n">
        <v>44644</v>
      </c>
      <c r="E17" s="27" t="s">
        <v>31</v>
      </c>
      <c r="F17" s="27" t="s">
        <v>32</v>
      </c>
      <c r="G17" s="27" t="n">
        <v>531171199</v>
      </c>
      <c r="H17" s="28" t="n">
        <v>0.333333333333333</v>
      </c>
      <c r="I17" s="5" t="s">
        <v>39</v>
      </c>
      <c r="J17" s="29" t="n">
        <v>10</v>
      </c>
      <c r="K17" s="30" t="n">
        <v>15.6</v>
      </c>
      <c r="L17" s="30" t="n">
        <v>4</v>
      </c>
      <c r="M17" s="30" t="n">
        <v>1338</v>
      </c>
      <c r="N17" s="30" t="n">
        <v>8.15</v>
      </c>
      <c r="O17" s="31" t="n">
        <v>18158</v>
      </c>
      <c r="P17" s="30" t="n">
        <f aca="false">(O17*1000)/24/60/60</f>
        <v>210.162037037037</v>
      </c>
      <c r="Q17" s="29" t="s">
        <v>37</v>
      </c>
      <c r="R17" s="29" t="n">
        <v>20.1</v>
      </c>
      <c r="S17" s="9" t="n">
        <v>75016.1172218168</v>
      </c>
      <c r="T17" s="9" t="n">
        <v>32615.3077589074</v>
      </c>
      <c r="U17" s="9" t="n">
        <v>39149405.1105405</v>
      </c>
      <c r="V17" s="10" t="n">
        <f aca="false">S17/1000</f>
        <v>75.0161172218168</v>
      </c>
      <c r="W17" s="10" t="n">
        <f aca="false">T17/1000</f>
        <v>32.6153077589074</v>
      </c>
      <c r="X17" s="10" t="n">
        <f aca="false">U17/1000</f>
        <v>39149.4051105405</v>
      </c>
      <c r="Y17" s="1"/>
      <c r="AC17" s="33" t="n">
        <f aca="false">S17/U17</f>
        <v>0.00191614960712697</v>
      </c>
      <c r="AD17" s="33" t="n">
        <f aca="false">T17/U17</f>
        <v>0.000833098425552477</v>
      </c>
    </row>
    <row r="18" s="34" customFormat="true" ht="14.25" hidden="false" customHeight="false" outlineLevel="0" collapsed="false">
      <c r="A18" s="1" t="s">
        <v>29</v>
      </c>
      <c r="B18" s="25" t="n">
        <v>44643</v>
      </c>
      <c r="C18" s="26" t="s">
        <v>30</v>
      </c>
      <c r="D18" s="26" t="n">
        <v>44644</v>
      </c>
      <c r="E18" s="27" t="s">
        <v>35</v>
      </c>
      <c r="F18" s="27" t="s">
        <v>36</v>
      </c>
      <c r="G18" s="27" t="n">
        <v>531172338</v>
      </c>
      <c r="H18" s="28" t="n">
        <v>0.333333333333333</v>
      </c>
      <c r="I18" s="5" t="s">
        <v>39</v>
      </c>
      <c r="J18" s="29" t="n">
        <v>10</v>
      </c>
      <c r="K18" s="30" t="n">
        <v>15.1</v>
      </c>
      <c r="L18" s="30" t="n">
        <v>4</v>
      </c>
      <c r="M18" s="30" t="n">
        <v>643</v>
      </c>
      <c r="N18" s="30" t="n">
        <v>5.83</v>
      </c>
      <c r="O18" s="31" t="n">
        <v>20292</v>
      </c>
      <c r="P18" s="30" t="n">
        <f aca="false">(O18*1000)/24/60/60</f>
        <v>234.861111111111</v>
      </c>
      <c r="Q18" s="29" t="s">
        <v>37</v>
      </c>
      <c r="R18" s="29" t="n">
        <v>9.3</v>
      </c>
      <c r="S18" s="9" t="n">
        <v>29049.028430992</v>
      </c>
      <c r="T18" s="9" t="n">
        <v>15533.8808478941</v>
      </c>
      <c r="U18" s="9" t="n">
        <v>12425909.2847162</v>
      </c>
      <c r="V18" s="10" t="n">
        <f aca="false">S18/1000</f>
        <v>29.049028430992</v>
      </c>
      <c r="W18" s="10" t="n">
        <f aca="false">T18/1000</f>
        <v>15.5338808478941</v>
      </c>
      <c r="X18" s="10" t="n">
        <f aca="false">U18/1000</f>
        <v>12425.9092847162</v>
      </c>
      <c r="Y18" s="1"/>
      <c r="AC18" s="33" t="n">
        <f aca="false">S18/U18</f>
        <v>0.00233777889129788</v>
      </c>
      <c r="AD18" s="33" t="n">
        <f aca="false">T18/U18</f>
        <v>0.00125012025212518</v>
      </c>
    </row>
    <row r="19" s="34" customFormat="true" ht="14.25" hidden="false" customHeight="false" outlineLevel="0" collapsed="false">
      <c r="A19" s="1" t="s">
        <v>29</v>
      </c>
      <c r="B19" s="2" t="n">
        <v>44648</v>
      </c>
      <c r="C19" s="26" t="s">
        <v>30</v>
      </c>
      <c r="D19" s="3" t="n">
        <v>44649</v>
      </c>
      <c r="E19" s="27" t="s">
        <v>31</v>
      </c>
      <c r="F19" s="27" t="s">
        <v>32</v>
      </c>
      <c r="G19" s="27" t="n">
        <v>531171510</v>
      </c>
      <c r="H19" s="28" t="n">
        <v>0.333333333333333</v>
      </c>
      <c r="I19" s="5" t="s">
        <v>33</v>
      </c>
      <c r="J19" s="29" t="n">
        <v>12</v>
      </c>
      <c r="K19" s="7" t="n">
        <v>16.9</v>
      </c>
      <c r="L19" s="7" t="n">
        <v>8</v>
      </c>
      <c r="M19" s="7" t="n">
        <v>1430</v>
      </c>
      <c r="N19" s="7" t="n">
        <v>8.19</v>
      </c>
      <c r="O19" s="31" t="n">
        <v>17755</v>
      </c>
      <c r="P19" s="30" t="n">
        <f aca="false">(O19*1000)/24/60/60</f>
        <v>205.497685185185</v>
      </c>
      <c r="Q19" s="29" t="s">
        <v>37</v>
      </c>
      <c r="R19" s="6" t="n">
        <v>17.8</v>
      </c>
      <c r="S19" s="9" t="n">
        <v>47283.6478921963</v>
      </c>
      <c r="T19" s="9" t="n">
        <v>25296.368862158</v>
      </c>
      <c r="U19" s="9" t="n">
        <v>60733753.7415176</v>
      </c>
      <c r="V19" s="10" t="n">
        <f aca="false">S19/1000</f>
        <v>47.2836478921963</v>
      </c>
      <c r="W19" s="10" t="n">
        <f aca="false">T19/1000</f>
        <v>25.296368862158</v>
      </c>
      <c r="X19" s="10" t="n">
        <f aca="false">U19/1000</f>
        <v>60733.7537415176</v>
      </c>
      <c r="Y19" s="1"/>
      <c r="AC19" s="33" t="n">
        <f aca="false">S19/U19</f>
        <v>0.000778539855998941</v>
      </c>
      <c r="AD19" s="33" t="n">
        <f aca="false">T19/U19</f>
        <v>0.00041651252069515</v>
      </c>
    </row>
    <row r="20" s="34" customFormat="true" ht="14.25" hidden="false" customHeight="false" outlineLevel="0" collapsed="false">
      <c r="A20" s="1" t="s">
        <v>29</v>
      </c>
      <c r="B20" s="2" t="n">
        <v>44648</v>
      </c>
      <c r="C20" s="26" t="s">
        <v>30</v>
      </c>
      <c r="D20" s="3" t="n">
        <v>44649</v>
      </c>
      <c r="E20" s="27" t="s">
        <v>35</v>
      </c>
      <c r="F20" s="27" t="s">
        <v>36</v>
      </c>
      <c r="G20" s="27" t="n">
        <v>531172621</v>
      </c>
      <c r="H20" s="28" t="n">
        <v>0.333333333333333</v>
      </c>
      <c r="I20" s="5" t="s">
        <v>33</v>
      </c>
      <c r="J20" s="29" t="n">
        <v>12</v>
      </c>
      <c r="K20" s="7" t="n">
        <v>14.9</v>
      </c>
      <c r="L20" s="7" t="n">
        <v>8</v>
      </c>
      <c r="M20" s="7" t="n">
        <v>500</v>
      </c>
      <c r="N20" s="7" t="n">
        <v>6.44</v>
      </c>
      <c r="O20" s="8" t="n">
        <v>19418</v>
      </c>
      <c r="P20" s="30" t="n">
        <f aca="false">(O20*1000)/24/60/60</f>
        <v>224.74537037037</v>
      </c>
      <c r="Q20" s="29" t="s">
        <v>37</v>
      </c>
      <c r="R20" s="6" t="n">
        <v>20.4</v>
      </c>
      <c r="S20" s="9" t="n">
        <v>51628.6428831375</v>
      </c>
      <c r="T20" s="9" t="n">
        <v>21014.6812742487</v>
      </c>
      <c r="U20" s="9" t="n">
        <v>25800943.407639</v>
      </c>
      <c r="V20" s="10" t="n">
        <f aca="false">S20/1000</f>
        <v>51.6286428831375</v>
      </c>
      <c r="W20" s="10" t="n">
        <f aca="false">T20/1000</f>
        <v>21.0146812742487</v>
      </c>
      <c r="X20" s="10" t="n">
        <f aca="false">U20/1000</f>
        <v>25800.943407639</v>
      </c>
      <c r="Y20" s="1"/>
      <c r="AC20" s="33" t="n">
        <f aca="false">S20/U20</f>
        <v>0.00200103701897395</v>
      </c>
      <c r="AD20" s="33" t="n">
        <f aca="false">T20/U20</f>
        <v>0.000814492747115083</v>
      </c>
    </row>
    <row r="21" s="34" customFormat="true" ht="14.25" hidden="false" customHeight="false" outlineLevel="0" collapsed="false">
      <c r="A21" s="1" t="s">
        <v>29</v>
      </c>
      <c r="B21" s="2" t="n">
        <v>44650</v>
      </c>
      <c r="C21" s="26" t="s">
        <v>30</v>
      </c>
      <c r="D21" s="3" t="n">
        <v>44651</v>
      </c>
      <c r="E21" s="27" t="s">
        <v>31</v>
      </c>
      <c r="F21" s="27" t="s">
        <v>32</v>
      </c>
      <c r="G21" s="27" t="n">
        <v>531171533</v>
      </c>
      <c r="H21" s="28" t="n">
        <v>0.333333333333333</v>
      </c>
      <c r="I21" s="5" t="s">
        <v>33</v>
      </c>
      <c r="J21" s="29" t="n">
        <v>12</v>
      </c>
      <c r="K21" s="7" t="n">
        <v>13.2</v>
      </c>
      <c r="L21" s="7" t="n">
        <v>5</v>
      </c>
      <c r="M21" s="7" t="n">
        <v>561</v>
      </c>
      <c r="N21" s="7" t="n">
        <v>7.77</v>
      </c>
      <c r="O21" s="8" t="n">
        <v>19839</v>
      </c>
      <c r="P21" s="30" t="n">
        <f aca="false">(O21*1000)/24/60/60</f>
        <v>229.618055555556</v>
      </c>
      <c r="Q21" s="29" t="s">
        <v>40</v>
      </c>
      <c r="R21" s="6" t="n">
        <v>36.3</v>
      </c>
      <c r="S21" s="9" t="n">
        <v>50877.6941416524</v>
      </c>
      <c r="T21" s="9" t="n">
        <v>32170.3582577904</v>
      </c>
      <c r="U21" s="9" t="n">
        <v>24958157.566781</v>
      </c>
      <c r="V21" s="10" t="n">
        <f aca="false">S21/1000</f>
        <v>50.8776941416524</v>
      </c>
      <c r="W21" s="10" t="n">
        <f aca="false">T21/1000</f>
        <v>32.1703582577904</v>
      </c>
      <c r="X21" s="10" t="n">
        <f aca="false">U21/1000</f>
        <v>24958.157566781</v>
      </c>
      <c r="Y21" s="1"/>
      <c r="AC21" s="33" t="n">
        <f aca="false">S21/U21</f>
        <v>0.00203851963052633</v>
      </c>
      <c r="AD21" s="33" t="n">
        <f aca="false">T21/U21</f>
        <v>0.00128897167876722</v>
      </c>
    </row>
    <row r="22" s="34" customFormat="true" ht="14.25" hidden="false" customHeight="false" outlineLevel="0" collapsed="false">
      <c r="A22" s="1" t="s">
        <v>29</v>
      </c>
      <c r="B22" s="2" t="n">
        <v>44650</v>
      </c>
      <c r="C22" s="26" t="s">
        <v>30</v>
      </c>
      <c r="D22" s="3" t="n">
        <v>44651</v>
      </c>
      <c r="E22" s="27" t="s">
        <v>35</v>
      </c>
      <c r="F22" s="27" t="s">
        <v>36</v>
      </c>
      <c r="G22" s="27" t="n">
        <v>531172648</v>
      </c>
      <c r="H22" s="28" t="n">
        <v>0.333333333333333</v>
      </c>
      <c r="I22" s="5" t="s">
        <v>33</v>
      </c>
      <c r="J22" s="29" t="n">
        <v>12</v>
      </c>
      <c r="K22" s="7" t="n">
        <v>14.2</v>
      </c>
      <c r="L22" s="7" t="n">
        <v>5</v>
      </c>
      <c r="M22" s="7" t="n">
        <v>445</v>
      </c>
      <c r="N22" s="7" t="n">
        <v>7.08</v>
      </c>
      <c r="O22" s="8" t="n">
        <v>21524</v>
      </c>
      <c r="P22" s="30" t="n">
        <f aca="false">(O22*1000)/24/60/60</f>
        <v>249.12037037037</v>
      </c>
      <c r="Q22" s="29" t="s">
        <v>40</v>
      </c>
      <c r="R22" s="6" t="n">
        <v>71.7</v>
      </c>
      <c r="S22" s="9" t="n">
        <v>53948.6493983922</v>
      </c>
      <c r="T22" s="9" t="n">
        <v>31298.5869171567</v>
      </c>
      <c r="U22" s="9" t="n">
        <v>61636841.3688284</v>
      </c>
      <c r="V22" s="10" t="n">
        <f aca="false">S22/1000</f>
        <v>53.9486493983922</v>
      </c>
      <c r="W22" s="10" t="n">
        <f aca="false">T22/1000</f>
        <v>31.2985869171567</v>
      </c>
      <c r="X22" s="10" t="n">
        <f aca="false">U22/1000</f>
        <v>61636.8413688284</v>
      </c>
      <c r="Y22" s="1"/>
      <c r="AC22" s="33" t="n">
        <f aca="false">S22/U22</f>
        <v>0.000875266288802327</v>
      </c>
      <c r="AD22" s="33" t="n">
        <f aca="false">T22/U22</f>
        <v>0.000507790247230049</v>
      </c>
    </row>
    <row r="23" s="34" customFormat="true" ht="14.25" hidden="false" customHeight="false" outlineLevel="0" collapsed="false">
      <c r="A23" s="1" t="s">
        <v>29</v>
      </c>
      <c r="B23" s="2" t="n">
        <v>44655</v>
      </c>
      <c r="C23" s="26" t="s">
        <v>30</v>
      </c>
      <c r="D23" s="3" t="n">
        <v>44656</v>
      </c>
      <c r="E23" s="27" t="s">
        <v>31</v>
      </c>
      <c r="F23" s="27" t="s">
        <v>32</v>
      </c>
      <c r="G23" s="27" t="n">
        <v>531171056</v>
      </c>
      <c r="H23" s="28" t="n">
        <v>0.333333333333333</v>
      </c>
      <c r="I23" s="5" t="s">
        <v>33</v>
      </c>
      <c r="J23" s="29" t="n">
        <v>12</v>
      </c>
      <c r="K23" s="7" t="n">
        <v>13.89</v>
      </c>
      <c r="L23" s="7" t="n">
        <v>9</v>
      </c>
      <c r="M23" s="7" t="n">
        <v>440</v>
      </c>
      <c r="N23" s="7" t="n">
        <v>8.2</v>
      </c>
      <c r="O23" s="8" t="n">
        <v>22704</v>
      </c>
      <c r="P23" s="30" t="n">
        <f aca="false">(O23*1000)/24/60/60</f>
        <v>262.777777777778</v>
      </c>
      <c r="Q23" s="29" t="s">
        <v>40</v>
      </c>
      <c r="R23" s="6" t="n">
        <v>21.6</v>
      </c>
      <c r="S23" s="9" t="n">
        <v>66231.8100708504</v>
      </c>
      <c r="T23" s="9" t="n">
        <v>22977.3056064435</v>
      </c>
      <c r="U23" s="9" t="n">
        <v>35436920.580008</v>
      </c>
      <c r="V23" s="10" t="n">
        <f aca="false">S23/1000</f>
        <v>66.2318100708504</v>
      </c>
      <c r="W23" s="10" t="n">
        <f aca="false">T23/1000</f>
        <v>22.9773056064435</v>
      </c>
      <c r="X23" s="10" t="n">
        <f aca="false">U23/1000</f>
        <v>35436.920580008</v>
      </c>
      <c r="Y23" s="1"/>
      <c r="AC23" s="33" t="n">
        <f aca="false">S23/U23</f>
        <v>0.00186900579922894</v>
      </c>
      <c r="AD23" s="33" t="n">
        <f aca="false">T23/U23</f>
        <v>0.000648400177847459</v>
      </c>
    </row>
    <row r="24" s="34" customFormat="true" ht="14.25" hidden="false" customHeight="false" outlineLevel="0" collapsed="false">
      <c r="A24" s="1" t="s">
        <v>29</v>
      </c>
      <c r="B24" s="2" t="n">
        <v>44655</v>
      </c>
      <c r="C24" s="26" t="s">
        <v>30</v>
      </c>
      <c r="D24" s="3" t="n">
        <v>44656</v>
      </c>
      <c r="E24" s="27" t="s">
        <v>35</v>
      </c>
      <c r="F24" s="27" t="s">
        <v>36</v>
      </c>
      <c r="G24" s="27" t="n">
        <v>531172582</v>
      </c>
      <c r="H24" s="28" t="n">
        <v>0.333333333333333</v>
      </c>
      <c r="I24" s="5" t="s">
        <v>33</v>
      </c>
      <c r="J24" s="29" t="n">
        <v>12</v>
      </c>
      <c r="K24" s="7" t="n">
        <v>13.37</v>
      </c>
      <c r="L24" s="7" t="n">
        <v>9</v>
      </c>
      <c r="M24" s="7" t="n">
        <v>670</v>
      </c>
      <c r="N24" s="7" t="n">
        <v>8.16</v>
      </c>
      <c r="O24" s="8" t="n">
        <v>24639</v>
      </c>
      <c r="P24" s="30" t="n">
        <f aca="false">(O24*1000)/24/60/60</f>
        <v>285.173611111111</v>
      </c>
      <c r="Q24" s="29" t="s">
        <v>40</v>
      </c>
      <c r="R24" s="6" t="n">
        <v>6.3</v>
      </c>
      <c r="S24" s="9" t="n">
        <v>20587.05939508</v>
      </c>
      <c r="T24" s="9" t="n">
        <v>12048.047582253</v>
      </c>
      <c r="U24" s="9" t="n">
        <v>20373778.2843116</v>
      </c>
      <c r="V24" s="10" t="n">
        <f aca="false">S24/1000</f>
        <v>20.58705939508</v>
      </c>
      <c r="W24" s="10" t="n">
        <f aca="false">T24/1000</f>
        <v>12.048047582253</v>
      </c>
      <c r="X24" s="10" t="n">
        <f aca="false">U24/1000</f>
        <v>20373.7782843116</v>
      </c>
      <c r="Y24" s="1"/>
      <c r="AC24" s="33" t="n">
        <f aca="false">S24/U24</f>
        <v>0.00101046841227936</v>
      </c>
      <c r="AD24" s="33" t="n">
        <f aca="false">T24/U24</f>
        <v>0.000591350677038157</v>
      </c>
    </row>
    <row r="25" s="34" customFormat="true" ht="14.25" hidden="false" customHeight="false" outlineLevel="0" collapsed="false">
      <c r="A25" s="1" t="s">
        <v>29</v>
      </c>
      <c r="B25" s="2" t="n">
        <v>44657</v>
      </c>
      <c r="C25" s="26" t="s">
        <v>30</v>
      </c>
      <c r="D25" s="3" t="n">
        <v>44658</v>
      </c>
      <c r="E25" s="27" t="s">
        <v>31</v>
      </c>
      <c r="F25" s="27" t="s">
        <v>32</v>
      </c>
      <c r="G25" s="27" t="n">
        <v>531171868</v>
      </c>
      <c r="H25" s="28" t="n">
        <v>0.333333333333333</v>
      </c>
      <c r="I25" s="5" t="s">
        <v>33</v>
      </c>
      <c r="J25" s="29" t="n">
        <v>12</v>
      </c>
      <c r="K25" s="7" t="n">
        <v>14.4</v>
      </c>
      <c r="L25" s="7" t="n">
        <v>11</v>
      </c>
      <c r="M25" s="7" t="n">
        <v>896</v>
      </c>
      <c r="N25" s="7" t="n">
        <v>8.14</v>
      </c>
      <c r="O25" s="8" t="n">
        <v>19554</v>
      </c>
      <c r="P25" s="30" t="n">
        <f aca="false">(O25*1000)/24/60/60</f>
        <v>226.319444444444</v>
      </c>
      <c r="Q25" s="29" t="s">
        <v>40</v>
      </c>
      <c r="R25" s="6" t="n">
        <v>33.5</v>
      </c>
      <c r="S25" s="9" t="n">
        <v>119450.785764984</v>
      </c>
      <c r="T25" s="9" t="n">
        <v>58876.4442003743</v>
      </c>
      <c r="U25" s="9" t="n">
        <v>59403871.2574916</v>
      </c>
      <c r="V25" s="10" t="n">
        <f aca="false">S25/1000</f>
        <v>119.450785764984</v>
      </c>
      <c r="W25" s="10" t="n">
        <f aca="false">T25/1000</f>
        <v>58.8764442003743</v>
      </c>
      <c r="X25" s="10" t="n">
        <f aca="false">U25/1000</f>
        <v>59403.8712574916</v>
      </c>
      <c r="Y25" s="1"/>
      <c r="AC25" s="33" t="n">
        <f aca="false">S25/U25</f>
        <v>0.00201082493844911</v>
      </c>
      <c r="AD25" s="33" t="n">
        <f aca="false">T25/U25</f>
        <v>0.000991121335260606</v>
      </c>
    </row>
    <row r="26" s="34" customFormat="true" ht="14.25" hidden="false" customHeight="false" outlineLevel="0" collapsed="false">
      <c r="A26" s="1" t="s">
        <v>29</v>
      </c>
      <c r="B26" s="2" t="n">
        <v>44657</v>
      </c>
      <c r="C26" s="26" t="s">
        <v>30</v>
      </c>
      <c r="D26" s="3" t="n">
        <v>44658</v>
      </c>
      <c r="E26" s="27" t="s">
        <v>35</v>
      </c>
      <c r="F26" s="27" t="s">
        <v>36</v>
      </c>
      <c r="G26" s="27" t="n">
        <v>531172412</v>
      </c>
      <c r="H26" s="28" t="n">
        <v>0.333333333333333</v>
      </c>
      <c r="I26" s="5" t="s">
        <v>33</v>
      </c>
      <c r="J26" s="29" t="n">
        <v>12</v>
      </c>
      <c r="K26" s="7" t="n">
        <v>13.7</v>
      </c>
      <c r="L26" s="7" t="n">
        <v>11</v>
      </c>
      <c r="M26" s="7" t="n">
        <v>370</v>
      </c>
      <c r="N26" s="7" t="n">
        <v>7.11</v>
      </c>
      <c r="O26" s="8" t="n">
        <v>22466</v>
      </c>
      <c r="P26" s="30" t="n">
        <f aca="false">(O26*1000)/24/60/60</f>
        <v>260.023148148148</v>
      </c>
      <c r="Q26" s="29" t="s">
        <v>40</v>
      </c>
      <c r="R26" s="6" t="n">
        <v>3.7</v>
      </c>
      <c r="S26" s="9" t="n">
        <v>24906.7508245356</v>
      </c>
      <c r="T26" s="9" t="n">
        <v>16752.9263439031</v>
      </c>
      <c r="U26" s="9" t="n">
        <v>21772971.4765057</v>
      </c>
      <c r="V26" s="10" t="n">
        <f aca="false">S26/1000</f>
        <v>24.9067508245356</v>
      </c>
      <c r="W26" s="10" t="n">
        <f aca="false">T26/1000</f>
        <v>16.7529263439031</v>
      </c>
      <c r="X26" s="10" t="n">
        <f aca="false">U26/1000</f>
        <v>21772.9714765057</v>
      </c>
      <c r="Y26" s="1"/>
      <c r="AC26" s="33" t="n">
        <f aca="false">S26/U26</f>
        <v>0.00114392979623435</v>
      </c>
      <c r="AD26" s="33" t="n">
        <f aca="false">T26/U26</f>
        <v>0.000769436838787965</v>
      </c>
    </row>
    <row r="27" s="34" customFormat="true" ht="14.25" hidden="false" customHeight="false" outlineLevel="0" collapsed="false">
      <c r="A27" s="1" t="s">
        <v>29</v>
      </c>
      <c r="B27" s="2" t="n">
        <v>44662</v>
      </c>
      <c r="C27" s="26" t="s">
        <v>30</v>
      </c>
      <c r="D27" s="3" t="n">
        <v>44663</v>
      </c>
      <c r="E27" s="27" t="s">
        <v>31</v>
      </c>
      <c r="F27" s="27" t="s">
        <v>32</v>
      </c>
      <c r="G27" s="27" t="n">
        <v>531171829</v>
      </c>
      <c r="H27" s="28" t="n">
        <v>0.333333333333333</v>
      </c>
      <c r="I27" s="5" t="s">
        <v>38</v>
      </c>
      <c r="J27" s="29" t="n">
        <v>12</v>
      </c>
      <c r="K27" s="7" t="n">
        <v>14</v>
      </c>
      <c r="L27" s="7" t="n">
        <v>9</v>
      </c>
      <c r="M27" s="7" t="n">
        <v>834</v>
      </c>
      <c r="N27" s="7" t="n">
        <v>7.94</v>
      </c>
      <c r="O27" s="8" t="n">
        <v>19428</v>
      </c>
      <c r="P27" s="30" t="n">
        <f aca="false">(O27*1000)/24/60/60</f>
        <v>224.861111111111</v>
      </c>
      <c r="Q27" s="29" t="s">
        <v>41</v>
      </c>
      <c r="R27" s="6" t="n">
        <v>20.6</v>
      </c>
      <c r="S27" s="9" t="n">
        <v>23317.5155439927</v>
      </c>
      <c r="T27" s="9" t="n">
        <v>10182.1215146533</v>
      </c>
      <c r="U27" s="9" t="n">
        <v>49479283.6017043</v>
      </c>
      <c r="V27" s="10" t="n">
        <f aca="false">S27/1000</f>
        <v>23.3175155439927</v>
      </c>
      <c r="W27" s="10" t="n">
        <f aca="false">T27/1000</f>
        <v>10.1821215146533</v>
      </c>
      <c r="X27" s="10" t="n">
        <f aca="false">U27/1000</f>
        <v>49479.2836017043</v>
      </c>
      <c r="Y27" s="1"/>
      <c r="AC27" s="33" t="n">
        <f aca="false">S27/U27</f>
        <v>0.000471258147787523</v>
      </c>
      <c r="AD27" s="33" t="n">
        <f aca="false">T27/U27</f>
        <v>0.000205785548485641</v>
      </c>
    </row>
    <row r="28" s="34" customFormat="true" ht="14.25" hidden="false" customHeight="false" outlineLevel="0" collapsed="false">
      <c r="A28" s="1" t="s">
        <v>29</v>
      </c>
      <c r="B28" s="2" t="n">
        <v>44662</v>
      </c>
      <c r="C28" s="26" t="s">
        <v>30</v>
      </c>
      <c r="D28" s="3" t="n">
        <v>44663</v>
      </c>
      <c r="E28" s="27" t="s">
        <v>35</v>
      </c>
      <c r="F28" s="27" t="s">
        <v>36</v>
      </c>
      <c r="G28" s="27" t="n">
        <v>531172470</v>
      </c>
      <c r="H28" s="28" t="n">
        <v>0.333333333333333</v>
      </c>
      <c r="I28" s="5" t="s">
        <v>38</v>
      </c>
      <c r="J28" s="29" t="n">
        <v>12</v>
      </c>
      <c r="K28" s="7" t="n">
        <v>13.8</v>
      </c>
      <c r="L28" s="7" t="n">
        <v>9</v>
      </c>
      <c r="M28" s="7" t="n">
        <v>570</v>
      </c>
      <c r="N28" s="7" t="n">
        <v>6.28</v>
      </c>
      <c r="O28" s="8" t="n">
        <v>24008</v>
      </c>
      <c r="P28" s="30" t="n">
        <f aca="false">(O28*1000)/24/60/60</f>
        <v>277.87037037037</v>
      </c>
      <c r="Q28" s="29" t="s">
        <v>41</v>
      </c>
      <c r="R28" s="6" t="n">
        <v>3.3</v>
      </c>
      <c r="S28" s="9" t="n">
        <v>10152.3274715255</v>
      </c>
      <c r="T28" s="9" t="n">
        <v>8814.53990946909</v>
      </c>
      <c r="U28" s="9" t="n">
        <v>21232169.9823953</v>
      </c>
      <c r="V28" s="10" t="n">
        <f aca="false">S28/1000</f>
        <v>10.1523274715255</v>
      </c>
      <c r="W28" s="10" t="n">
        <f aca="false">T28/1000</f>
        <v>8.81453990946909</v>
      </c>
      <c r="X28" s="10" t="n">
        <f aca="false">U28/1000</f>
        <v>21232.1699823953</v>
      </c>
      <c r="Y28" s="1"/>
      <c r="AC28" s="33" t="n">
        <f aca="false">S28/U28</f>
        <v>0.000478157789804027</v>
      </c>
      <c r="AD28" s="33" t="n">
        <f aca="false">T28/U28</f>
        <v>0.000415150213886649</v>
      </c>
    </row>
    <row r="29" s="34" customFormat="true" ht="14.25" hidden="false" customHeight="false" outlineLevel="0" collapsed="false">
      <c r="A29" s="1" t="s">
        <v>29</v>
      </c>
      <c r="B29" s="2" t="n">
        <v>44664</v>
      </c>
      <c r="C29" s="26" t="s">
        <v>30</v>
      </c>
      <c r="D29" s="3" t="n">
        <v>44665</v>
      </c>
      <c r="E29" s="27" t="s">
        <v>31</v>
      </c>
      <c r="F29" s="27" t="s">
        <v>32</v>
      </c>
      <c r="G29" s="27" t="n">
        <v>531171128</v>
      </c>
      <c r="H29" s="28" t="n">
        <v>0.333333333333333</v>
      </c>
      <c r="I29" s="5" t="s">
        <v>38</v>
      </c>
      <c r="J29" s="29" t="n">
        <v>12</v>
      </c>
      <c r="K29" s="7" t="n">
        <v>16.8</v>
      </c>
      <c r="L29" s="7" t="n">
        <v>12</v>
      </c>
      <c r="M29" s="7" t="n">
        <v>1331</v>
      </c>
      <c r="N29" s="7" t="n">
        <v>8.05</v>
      </c>
      <c r="O29" s="8" t="n">
        <v>20369</v>
      </c>
      <c r="P29" s="30" t="n">
        <f aca="false">(O29*1000)/24/60/60</f>
        <v>235.752314814815</v>
      </c>
      <c r="Q29" s="29" t="s">
        <v>40</v>
      </c>
      <c r="R29" s="6" t="n">
        <v>21</v>
      </c>
      <c r="S29" s="9" t="n">
        <v>64319.1129061847</v>
      </c>
      <c r="T29" s="9" t="n">
        <v>30346.0498767453</v>
      </c>
      <c r="U29" s="9" t="n">
        <v>71882272.6455769</v>
      </c>
      <c r="V29" s="10" t="n">
        <f aca="false">S29/1000</f>
        <v>64.3191129061847</v>
      </c>
      <c r="W29" s="10" t="n">
        <f aca="false">T29/1000</f>
        <v>30.3460498767453</v>
      </c>
      <c r="X29" s="10" t="n">
        <f aca="false">U29/1000</f>
        <v>71882.2726455769</v>
      </c>
      <c r="Y29" s="1"/>
      <c r="AC29" s="33" t="n">
        <f aca="false">S29/U29</f>
        <v>0.000894784075947583</v>
      </c>
      <c r="AD29" s="33" t="n">
        <f aca="false">T29/U29</f>
        <v>0.000422163194900218</v>
      </c>
    </row>
    <row r="30" s="34" customFormat="true" ht="14.25" hidden="false" customHeight="false" outlineLevel="0" collapsed="false">
      <c r="A30" s="1" t="s">
        <v>29</v>
      </c>
      <c r="B30" s="2" t="n">
        <v>44664</v>
      </c>
      <c r="C30" s="26" t="s">
        <v>30</v>
      </c>
      <c r="D30" s="3" t="n">
        <v>44665</v>
      </c>
      <c r="E30" s="27" t="s">
        <v>35</v>
      </c>
      <c r="F30" s="27" t="s">
        <v>36</v>
      </c>
      <c r="G30" s="27" t="n">
        <v>531172249</v>
      </c>
      <c r="H30" s="28" t="n">
        <v>0.333333333333333</v>
      </c>
      <c r="I30" s="5" t="s">
        <v>38</v>
      </c>
      <c r="J30" s="29" t="n">
        <v>12</v>
      </c>
      <c r="K30" s="7" t="n">
        <v>15.1</v>
      </c>
      <c r="L30" s="7" t="n">
        <v>12</v>
      </c>
      <c r="M30" s="7" t="n">
        <v>750</v>
      </c>
      <c r="N30" s="7" t="n">
        <v>7.12</v>
      </c>
      <c r="O30" s="8" t="n">
        <v>21818</v>
      </c>
      <c r="P30" s="30" t="n">
        <f aca="false">(O30*1000)/24/60/60</f>
        <v>252.523148148148</v>
      </c>
      <c r="Q30" s="29" t="s">
        <v>40</v>
      </c>
      <c r="R30" s="6" t="n">
        <v>6.7</v>
      </c>
      <c r="S30" s="9" t="n">
        <v>23488.9670945282</v>
      </c>
      <c r="T30" s="9" t="n">
        <v>20656.9323912404</v>
      </c>
      <c r="U30" s="9" t="n">
        <v>30263374.3856521</v>
      </c>
      <c r="V30" s="10" t="n">
        <f aca="false">S30/1000</f>
        <v>23.4889670945282</v>
      </c>
      <c r="W30" s="10" t="n">
        <f aca="false">T30/1000</f>
        <v>20.6569323912404</v>
      </c>
      <c r="X30" s="10" t="n">
        <f aca="false">U30/1000</f>
        <v>30263.3743856521</v>
      </c>
      <c r="Y30" s="1"/>
      <c r="AC30" s="33" t="n">
        <f aca="false">S30/U30</f>
        <v>0.000776151621270108</v>
      </c>
      <c r="AD30" s="33" t="n">
        <f aca="false">T30/U30</f>
        <v>0.000682572013550275</v>
      </c>
    </row>
    <row r="31" s="34" customFormat="true" ht="14.25" hidden="false" customHeight="false" outlineLevel="0" collapsed="false">
      <c r="A31" s="1" t="s">
        <v>29</v>
      </c>
      <c r="B31" s="2" t="n">
        <v>44669</v>
      </c>
      <c r="C31" s="26" t="s">
        <v>30</v>
      </c>
      <c r="D31" s="3" t="n">
        <v>44670</v>
      </c>
      <c r="E31" s="27" t="s">
        <v>31</v>
      </c>
      <c r="F31" s="27" t="s">
        <v>32</v>
      </c>
      <c r="G31" s="27" t="n">
        <v>531171511</v>
      </c>
      <c r="H31" s="28" t="n">
        <v>0.333333333333333</v>
      </c>
      <c r="I31" s="5" t="s">
        <v>39</v>
      </c>
      <c r="J31" s="29" t="n">
        <v>10</v>
      </c>
      <c r="K31" s="7" t="n">
        <v>16.7</v>
      </c>
      <c r="L31" s="7" t="n">
        <v>6</v>
      </c>
      <c r="M31" s="7" t="n">
        <v>1430</v>
      </c>
      <c r="N31" s="7" t="n">
        <v>8.03</v>
      </c>
      <c r="O31" s="8" t="n">
        <v>16377</v>
      </c>
      <c r="P31" s="30" t="n">
        <f aca="false">(O31*1000)/24/60/60</f>
        <v>189.548611111111</v>
      </c>
      <c r="Q31" s="29" t="s">
        <v>41</v>
      </c>
      <c r="R31" s="6" t="n">
        <v>18.1</v>
      </c>
      <c r="S31" s="9" t="n">
        <v>40245.265275147</v>
      </c>
      <c r="T31" s="9" t="n">
        <v>37935.2455778697</v>
      </c>
      <c r="U31" s="9" t="n">
        <v>41207786.8457897</v>
      </c>
      <c r="V31" s="10" t="n">
        <f aca="false">S31/1000</f>
        <v>40.245265275147</v>
      </c>
      <c r="W31" s="10" t="n">
        <f aca="false">T31/1000</f>
        <v>37.9352455778697</v>
      </c>
      <c r="X31" s="10" t="n">
        <f aca="false">U31/1000</f>
        <v>41207.7868457897</v>
      </c>
      <c r="Y31" s="1"/>
      <c r="AC31" s="33" t="n">
        <f aca="false">S31/U31</f>
        <v>0.000976642240597762</v>
      </c>
      <c r="AD31" s="33" t="n">
        <f aca="false">T31/U31</f>
        <v>0.000920584396338327</v>
      </c>
    </row>
    <row r="32" s="34" customFormat="true" ht="14.25" hidden="false" customHeight="false" outlineLevel="0" collapsed="false">
      <c r="A32" s="1" t="s">
        <v>29</v>
      </c>
      <c r="B32" s="2" t="n">
        <v>44669</v>
      </c>
      <c r="C32" s="26" t="s">
        <v>30</v>
      </c>
      <c r="D32" s="3" t="n">
        <v>44670</v>
      </c>
      <c r="E32" s="27" t="s">
        <v>35</v>
      </c>
      <c r="F32" s="27" t="s">
        <v>36</v>
      </c>
      <c r="G32" s="27" t="n">
        <v>531172208</v>
      </c>
      <c r="H32" s="28" t="n">
        <v>0.333333333333333</v>
      </c>
      <c r="I32" s="5" t="s">
        <v>39</v>
      </c>
      <c r="J32" s="29" t="n">
        <v>10</v>
      </c>
      <c r="K32" s="7" t="n">
        <v>15.16</v>
      </c>
      <c r="L32" s="7" t="n">
        <v>6</v>
      </c>
      <c r="M32" s="7" t="n">
        <v>670</v>
      </c>
      <c r="N32" s="7" t="n">
        <v>7</v>
      </c>
      <c r="O32" s="8" t="n">
        <v>17123</v>
      </c>
      <c r="P32" s="30" t="n">
        <f aca="false">(O32*1000)/24/60/60</f>
        <v>198.18287037037</v>
      </c>
      <c r="Q32" s="29" t="s">
        <v>41</v>
      </c>
      <c r="R32" s="6" t="n">
        <v>12.4</v>
      </c>
      <c r="S32" s="9" t="n">
        <v>5754.24255833863</v>
      </c>
      <c r="T32" s="9" t="n">
        <v>5718.52161316014</v>
      </c>
      <c r="U32" s="9" t="n">
        <v>11235569.0788948</v>
      </c>
      <c r="V32" s="10" t="n">
        <f aca="false">S32/1000</f>
        <v>5.75424255833863</v>
      </c>
      <c r="W32" s="10" t="n">
        <f aca="false">T32/1000</f>
        <v>5.71852161316014</v>
      </c>
      <c r="X32" s="10" t="n">
        <f aca="false">U32/1000</f>
        <v>11235.5690788948</v>
      </c>
      <c r="Y32" s="1"/>
      <c r="AC32" s="33" t="n">
        <f aca="false">S32/U32</f>
        <v>0.000512145180892311</v>
      </c>
      <c r="AD32" s="33" t="n">
        <f aca="false">T32/U32</f>
        <v>0.000508965907557097</v>
      </c>
    </row>
    <row r="33" s="34" customFormat="true" ht="14.25" hidden="false" customHeight="false" outlineLevel="0" collapsed="false">
      <c r="A33" s="1" t="s">
        <v>29</v>
      </c>
      <c r="B33" s="2" t="n">
        <v>44671</v>
      </c>
      <c r="C33" s="26" t="s">
        <v>30</v>
      </c>
      <c r="D33" s="3" t="n">
        <v>44672</v>
      </c>
      <c r="E33" s="27" t="s">
        <v>31</v>
      </c>
      <c r="F33" s="27" t="s">
        <v>32</v>
      </c>
      <c r="G33" s="27" t="n">
        <v>531171431</v>
      </c>
      <c r="H33" s="28" t="n">
        <v>0.333333333333333</v>
      </c>
      <c r="I33" s="5" t="s">
        <v>39</v>
      </c>
      <c r="J33" s="29" t="n">
        <v>10</v>
      </c>
      <c r="K33" s="7" t="n">
        <v>16.96</v>
      </c>
      <c r="L33" s="7" t="n">
        <v>7</v>
      </c>
      <c r="M33" s="7" t="n">
        <v>1490</v>
      </c>
      <c r="N33" s="7" t="n">
        <v>8.13</v>
      </c>
      <c r="O33" s="8" t="n">
        <v>17292</v>
      </c>
      <c r="P33" s="30" t="n">
        <f aca="false">(O33*1000)/24/60/60</f>
        <v>200.138888888889</v>
      </c>
      <c r="Q33" s="29" t="s">
        <v>41</v>
      </c>
      <c r="R33" s="6" t="n">
        <v>21.5</v>
      </c>
      <c r="S33" s="9" t="n">
        <v>49771.7013475191</v>
      </c>
      <c r="T33" s="9" t="n">
        <v>24526.5025294417</v>
      </c>
      <c r="U33" s="9" t="n">
        <v>53806567.5044736</v>
      </c>
      <c r="V33" s="10" t="n">
        <f aca="false">S33/1000</f>
        <v>49.7717013475191</v>
      </c>
      <c r="W33" s="10" t="n">
        <f aca="false">T33/1000</f>
        <v>24.5265025294417</v>
      </c>
      <c r="X33" s="10" t="n">
        <f aca="false">U33/1000</f>
        <v>53806.5675044736</v>
      </c>
      <c r="Y33" s="1"/>
      <c r="Z33" s="34" t="n">
        <v>641</v>
      </c>
      <c r="AC33" s="33" t="n">
        <f aca="false">S33/U33</f>
        <v>0.000925011641810844</v>
      </c>
      <c r="AD33" s="33" t="n">
        <f aca="false">T33/U33</f>
        <v>0.000455827302631831</v>
      </c>
    </row>
    <row r="34" s="34" customFormat="true" ht="14.25" hidden="false" customHeight="false" outlineLevel="0" collapsed="false">
      <c r="A34" s="1" t="s">
        <v>29</v>
      </c>
      <c r="B34" s="2" t="n">
        <v>44671</v>
      </c>
      <c r="C34" s="26" t="s">
        <v>30</v>
      </c>
      <c r="D34" s="3" t="n">
        <v>44672</v>
      </c>
      <c r="E34" s="27" t="s">
        <v>35</v>
      </c>
      <c r="F34" s="27" t="s">
        <v>36</v>
      </c>
      <c r="G34" s="27" t="n">
        <v>531172272</v>
      </c>
      <c r="H34" s="28" t="n">
        <v>0.333333333333333</v>
      </c>
      <c r="I34" s="5" t="s">
        <v>39</v>
      </c>
      <c r="J34" s="29" t="n">
        <v>10</v>
      </c>
      <c r="K34" s="7" t="n">
        <v>15.78</v>
      </c>
      <c r="L34" s="7" t="n">
        <v>7</v>
      </c>
      <c r="M34" s="7" t="n">
        <v>810</v>
      </c>
      <c r="N34" s="7" t="n">
        <v>7.04</v>
      </c>
      <c r="O34" s="8" t="n">
        <v>19250</v>
      </c>
      <c r="P34" s="30" t="n">
        <f aca="false">(O34*1000)/24/60/60</f>
        <v>222.800925925926</v>
      </c>
      <c r="Q34" s="29" t="s">
        <v>41</v>
      </c>
      <c r="R34" s="6" t="n">
        <v>6.8</v>
      </c>
      <c r="S34" s="9" t="n">
        <v>25460.2116504951</v>
      </c>
      <c r="T34" s="9" t="n">
        <v>28429.2658983623</v>
      </c>
      <c r="U34" s="9" t="n">
        <v>40430011.23578</v>
      </c>
      <c r="V34" s="10" t="n">
        <f aca="false">S34/1000</f>
        <v>25.4602116504951</v>
      </c>
      <c r="W34" s="10" t="n">
        <f aca="false">T34/1000</f>
        <v>28.4292658983623</v>
      </c>
      <c r="X34" s="10" t="n">
        <f aca="false">U34/1000</f>
        <v>40430.01123578</v>
      </c>
      <c r="Y34" s="1"/>
      <c r="Z34" s="34" t="n">
        <v>641</v>
      </c>
      <c r="AC34" s="33" t="n">
        <f aca="false">S34/U34</f>
        <v>0.000629735458197528</v>
      </c>
      <c r="AD34" s="33" t="n">
        <f aca="false">T34/U34</f>
        <v>0.000703172347209311</v>
      </c>
    </row>
    <row r="35" s="34" customFormat="true" ht="14.25" hidden="false" customHeight="false" outlineLevel="0" collapsed="false">
      <c r="A35" s="1" t="s">
        <v>29</v>
      </c>
      <c r="B35" s="2" t="n">
        <v>44676</v>
      </c>
      <c r="C35" s="26" t="s">
        <v>30</v>
      </c>
      <c r="D35" s="3" t="n">
        <v>44677</v>
      </c>
      <c r="E35" s="27" t="s">
        <v>31</v>
      </c>
      <c r="F35" s="27" t="s">
        <v>32</v>
      </c>
      <c r="G35" s="27" t="n">
        <v>531171372</v>
      </c>
      <c r="H35" s="28" t="n">
        <v>0.333333333333333</v>
      </c>
      <c r="I35" s="5" t="s">
        <v>33</v>
      </c>
      <c r="J35" s="29" t="n">
        <v>12</v>
      </c>
      <c r="K35" s="7" t="n">
        <v>15.04</v>
      </c>
      <c r="L35" s="7" t="n">
        <v>9</v>
      </c>
      <c r="M35" s="7" t="n">
        <v>840</v>
      </c>
      <c r="N35" s="7" t="n">
        <v>8.1</v>
      </c>
      <c r="O35" s="8" t="n">
        <v>20689</v>
      </c>
      <c r="P35" s="30" t="n">
        <f aca="false">(O35*1000)/24/60/60</f>
        <v>239.456018518519</v>
      </c>
      <c r="Q35" s="29" t="s">
        <v>40</v>
      </c>
      <c r="R35" s="6" t="n">
        <v>20.6</v>
      </c>
      <c r="S35" s="9" t="n">
        <v>14805.4056992176</v>
      </c>
      <c r="T35" s="9" t="n">
        <v>5857.65161096838</v>
      </c>
      <c r="U35" s="9" t="n">
        <v>24917701.6148151</v>
      </c>
      <c r="V35" s="10" t="n">
        <f aca="false">S35/1000</f>
        <v>14.8054056992176</v>
      </c>
      <c r="W35" s="10" t="n">
        <f aca="false">T35/1000</f>
        <v>5.85765161096838</v>
      </c>
      <c r="X35" s="10" t="n">
        <f aca="false">U35/1000</f>
        <v>24917.7016148151</v>
      </c>
      <c r="Y35" s="1" t="s">
        <v>42</v>
      </c>
      <c r="Z35" s="34" t="n">
        <v>602</v>
      </c>
      <c r="AC35" s="33" t="n">
        <f aca="false">S35/U35</f>
        <v>0.000594172204486743</v>
      </c>
      <c r="AD35" s="33" t="n">
        <f aca="false">T35/U35</f>
        <v>0.000235079932391743</v>
      </c>
    </row>
    <row r="36" s="34" customFormat="true" ht="14.25" hidden="false" customHeight="false" outlineLevel="0" collapsed="false">
      <c r="A36" s="1" t="s">
        <v>29</v>
      </c>
      <c r="B36" s="2" t="n">
        <v>44676</v>
      </c>
      <c r="C36" s="26" t="s">
        <v>30</v>
      </c>
      <c r="D36" s="3" t="n">
        <v>44677</v>
      </c>
      <c r="E36" s="27" t="s">
        <v>35</v>
      </c>
      <c r="F36" s="27" t="s">
        <v>36</v>
      </c>
      <c r="G36" s="27" t="n">
        <v>531172705</v>
      </c>
      <c r="H36" s="28" t="n">
        <v>0.333333333333333</v>
      </c>
      <c r="I36" s="5" t="s">
        <v>33</v>
      </c>
      <c r="J36" s="29" t="n">
        <v>12</v>
      </c>
      <c r="K36" s="7" t="n">
        <v>15.5</v>
      </c>
      <c r="L36" s="7" t="n">
        <v>9</v>
      </c>
      <c r="M36" s="7" t="n">
        <v>710</v>
      </c>
      <c r="N36" s="7" t="n">
        <v>6.14</v>
      </c>
      <c r="O36" s="8" t="n">
        <v>26011</v>
      </c>
      <c r="P36" s="30" t="n">
        <f aca="false">(O36*1000)/24/60/60</f>
        <v>301.053240740741</v>
      </c>
      <c r="Q36" s="29" t="s">
        <v>40</v>
      </c>
      <c r="R36" s="6" t="n">
        <v>3.8</v>
      </c>
      <c r="S36" s="9" t="n">
        <v>5754.24255833863</v>
      </c>
      <c r="T36" s="9" t="n">
        <v>4070.38579657353</v>
      </c>
      <c r="U36" s="9" t="n">
        <v>13698074.6764011</v>
      </c>
      <c r="V36" s="10" t="n">
        <f aca="false">S36/1000</f>
        <v>5.75424255833863</v>
      </c>
      <c r="W36" s="10" t="n">
        <f aca="false">T36/1000</f>
        <v>4.07038579657353</v>
      </c>
      <c r="X36" s="10" t="n">
        <f aca="false">U36/1000</f>
        <v>13698.0746764011</v>
      </c>
      <c r="Y36" s="1" t="s">
        <v>43</v>
      </c>
      <c r="Z36" s="34" t="n">
        <v>602</v>
      </c>
      <c r="AC36" s="33" t="n">
        <f aca="false">S36/U36</f>
        <v>0.000420076740291976</v>
      </c>
      <c r="AD36" s="33" t="n">
        <f aca="false">T36/U36</f>
        <v>0.000297150212181713</v>
      </c>
    </row>
    <row r="37" s="34" customFormat="true" ht="14.25" hidden="false" customHeight="false" outlineLevel="0" collapsed="false">
      <c r="A37" s="1" t="s">
        <v>29</v>
      </c>
      <c r="B37" s="2" t="n">
        <v>44678</v>
      </c>
      <c r="C37" s="26" t="s">
        <v>30</v>
      </c>
      <c r="D37" s="3" t="n">
        <v>44679</v>
      </c>
      <c r="E37" s="27" t="s">
        <v>31</v>
      </c>
      <c r="F37" s="27" t="s">
        <v>32</v>
      </c>
      <c r="G37" s="27" t="n">
        <v>531171201</v>
      </c>
      <c r="H37" s="28" t="n">
        <v>0.333333333333333</v>
      </c>
      <c r="I37" s="5" t="s">
        <v>33</v>
      </c>
      <c r="J37" s="29" t="n">
        <v>12</v>
      </c>
      <c r="K37" s="7" t="n">
        <v>15.8</v>
      </c>
      <c r="L37" s="7" t="n">
        <v>7</v>
      </c>
      <c r="M37" s="7" t="n">
        <v>1150</v>
      </c>
      <c r="N37" s="7" t="n">
        <v>8.18</v>
      </c>
      <c r="O37" s="8" t="n">
        <v>26992</v>
      </c>
      <c r="P37" s="30" t="n">
        <f aca="false">(O37*1000)/24/60/60</f>
        <v>312.407407407407</v>
      </c>
      <c r="Q37" s="29" t="s">
        <v>34</v>
      </c>
      <c r="R37" s="6" t="n">
        <v>6.4</v>
      </c>
      <c r="S37" s="9" t="n">
        <v>5754.24255833863</v>
      </c>
      <c r="T37" s="9" t="n">
        <v>3463.69759101506</v>
      </c>
      <c r="U37" s="9" t="n">
        <v>17021562.0821752</v>
      </c>
      <c r="V37" s="10" t="n">
        <f aca="false">S37/1000</f>
        <v>5.75424255833863</v>
      </c>
      <c r="W37" s="10" t="n">
        <f aca="false">T37/1000</f>
        <v>3.46369759101506</v>
      </c>
      <c r="X37" s="10" t="n">
        <f aca="false">U37/1000</f>
        <v>17021.5620821752</v>
      </c>
      <c r="Y37" s="1"/>
      <c r="Z37" s="34" t="n">
        <v>559</v>
      </c>
      <c r="AC37" s="33" t="n">
        <f aca="false">S37/U37</f>
        <v>0.000338056080315004</v>
      </c>
      <c r="AD37" s="33" t="n">
        <f aca="false">T37/U37</f>
        <v>0.000203488820490936</v>
      </c>
    </row>
    <row r="38" s="34" customFormat="true" ht="14.25" hidden="false" customHeight="false" outlineLevel="0" collapsed="false">
      <c r="A38" s="1" t="s">
        <v>29</v>
      </c>
      <c r="B38" s="2" t="n">
        <v>44678</v>
      </c>
      <c r="C38" s="26" t="s">
        <v>30</v>
      </c>
      <c r="D38" s="3" t="n">
        <v>44679</v>
      </c>
      <c r="E38" s="27" t="s">
        <v>35</v>
      </c>
      <c r="F38" s="27" t="s">
        <v>36</v>
      </c>
      <c r="G38" s="27" t="n">
        <v>531172402</v>
      </c>
      <c r="H38" s="28" t="n">
        <v>0.333333333333333</v>
      </c>
      <c r="I38" s="5" t="s">
        <v>33</v>
      </c>
      <c r="J38" s="29" t="n">
        <v>12</v>
      </c>
      <c r="K38" s="7" t="n">
        <v>15.39</v>
      </c>
      <c r="L38" s="7" t="n">
        <v>7</v>
      </c>
      <c r="M38" s="7" t="n">
        <v>690</v>
      </c>
      <c r="N38" s="7" t="n">
        <v>7.46</v>
      </c>
      <c r="O38" s="8" t="n">
        <v>19805</v>
      </c>
      <c r="P38" s="30" t="n">
        <f aca="false">(O38*1000)/24/60/60</f>
        <v>229.224537037037</v>
      </c>
      <c r="Q38" s="29" t="s">
        <v>34</v>
      </c>
      <c r="R38" s="6" t="n">
        <v>4.4</v>
      </c>
      <c r="S38" s="9" t="n">
        <v>7573.55590562536</v>
      </c>
      <c r="T38" s="9" t="n">
        <v>3463.69759101506</v>
      </c>
      <c r="U38" s="9" t="n">
        <v>13802879.6351484</v>
      </c>
      <c r="V38" s="10" t="n">
        <f aca="false">S38/1000</f>
        <v>7.57355590562536</v>
      </c>
      <c r="W38" s="10" t="n">
        <f aca="false">T38/1000</f>
        <v>3.46369759101506</v>
      </c>
      <c r="X38" s="10" t="n">
        <f aca="false">U38/1000</f>
        <v>13802.8796351484</v>
      </c>
      <c r="Y38" s="1"/>
      <c r="Z38" s="34" t="n">
        <v>559</v>
      </c>
      <c r="AC38" s="33" t="n">
        <f aca="false">S38/U38</f>
        <v>0.000548693903432994</v>
      </c>
      <c r="AD38" s="33" t="n">
        <f aca="false">T38/U38</f>
        <v>0.000250940215561607</v>
      </c>
    </row>
    <row r="39" s="34" customFormat="true" ht="14.25" hidden="false" customHeight="false" outlineLevel="0" collapsed="false">
      <c r="A39" s="1" t="s">
        <v>29</v>
      </c>
      <c r="B39" s="2" t="n">
        <v>44683</v>
      </c>
      <c r="C39" s="26" t="s">
        <v>30</v>
      </c>
      <c r="D39" s="3" t="n">
        <v>44684</v>
      </c>
      <c r="E39" s="27" t="s">
        <v>31</v>
      </c>
      <c r="F39" s="27" t="s">
        <v>32</v>
      </c>
      <c r="G39" s="27" t="n">
        <v>531171943</v>
      </c>
      <c r="H39" s="28" t="n">
        <v>0.333333333333333</v>
      </c>
      <c r="I39" s="5" t="s">
        <v>38</v>
      </c>
      <c r="J39" s="29" t="n">
        <v>12</v>
      </c>
      <c r="K39" s="7" t="n">
        <v>17.3</v>
      </c>
      <c r="L39" s="7" t="n">
        <v>9</v>
      </c>
      <c r="M39" s="7" t="n">
        <v>1319</v>
      </c>
      <c r="N39" s="7" t="n">
        <v>8.11</v>
      </c>
      <c r="O39" s="8" t="n">
        <v>17645</v>
      </c>
      <c r="P39" s="30" t="n">
        <f aca="false">(O39*1000)/24/60/60</f>
        <v>204.224537037037</v>
      </c>
      <c r="Q39" s="29" t="s">
        <v>34</v>
      </c>
      <c r="R39" s="6" t="n">
        <v>16.4</v>
      </c>
      <c r="S39" s="9" t="n">
        <v>11927.8398134035</v>
      </c>
      <c r="T39" s="9" t="n">
        <v>3463.69759101506</v>
      </c>
      <c r="U39" s="9" t="n">
        <v>33799854.8432417</v>
      </c>
      <c r="V39" s="10" t="n">
        <f aca="false">S39/1000</f>
        <v>11.9278398134035</v>
      </c>
      <c r="W39" s="10" t="n">
        <f aca="false">T39/1000</f>
        <v>3.46369759101506</v>
      </c>
      <c r="X39" s="10" t="n">
        <f aca="false">U39/1000</f>
        <v>33799.8548432417</v>
      </c>
      <c r="Y39" s="1"/>
      <c r="Z39" s="34" t="n">
        <v>493.4</v>
      </c>
      <c r="AC39" s="33" t="n">
        <f aca="false">S39/U39</f>
        <v>0.000352896184576026</v>
      </c>
      <c r="AD39" s="33" t="n">
        <f aca="false">T39/U39</f>
        <v>0.000102476700183451</v>
      </c>
    </row>
    <row r="40" s="34" customFormat="true" ht="14.25" hidden="false" customHeight="false" outlineLevel="0" collapsed="false">
      <c r="A40" s="1" t="s">
        <v>29</v>
      </c>
      <c r="B40" s="2" t="n">
        <v>44683</v>
      </c>
      <c r="C40" s="26" t="s">
        <v>30</v>
      </c>
      <c r="D40" s="3" t="n">
        <v>44684</v>
      </c>
      <c r="E40" s="27" t="s">
        <v>35</v>
      </c>
      <c r="F40" s="27" t="s">
        <v>36</v>
      </c>
      <c r="G40" s="27" t="n">
        <v>531172915</v>
      </c>
      <c r="H40" s="28" t="n">
        <v>0.333333333333333</v>
      </c>
      <c r="I40" s="5" t="s">
        <v>38</v>
      </c>
      <c r="J40" s="29" t="n">
        <v>12</v>
      </c>
      <c r="K40" s="7" t="n">
        <v>16.2</v>
      </c>
      <c r="L40" s="7" t="n">
        <v>9</v>
      </c>
      <c r="M40" s="7" t="n">
        <v>935</v>
      </c>
      <c r="N40" s="7" t="n">
        <v>7.07</v>
      </c>
      <c r="O40" s="8" t="n">
        <v>18755</v>
      </c>
      <c r="P40" s="30" t="n">
        <f aca="false">(O40*1000)/24/60/60</f>
        <v>217.071759259259</v>
      </c>
      <c r="Q40" s="29" t="s">
        <v>34</v>
      </c>
      <c r="R40" s="6" t="n">
        <v>25.2</v>
      </c>
      <c r="S40" s="9" t="n">
        <v>5754.24255833863</v>
      </c>
      <c r="T40" s="9" t="n">
        <v>3463.69759101506</v>
      </c>
      <c r="U40" s="9" t="n">
        <v>1289752.59136509</v>
      </c>
      <c r="V40" s="10" t="n">
        <f aca="false">S40/1000</f>
        <v>5.75424255833863</v>
      </c>
      <c r="W40" s="10" t="n">
        <f aca="false">T40/1000</f>
        <v>3.46369759101506</v>
      </c>
      <c r="X40" s="10" t="n">
        <f aca="false">U40/1000</f>
        <v>1289.75259136509</v>
      </c>
      <c r="Y40" s="1" t="s">
        <v>44</v>
      </c>
      <c r="Z40" s="34" t="n">
        <v>493.4</v>
      </c>
      <c r="AC40" s="33" t="n">
        <f aca="false">S40/U40</f>
        <v>0.00446150881716647</v>
      </c>
      <c r="AD40" s="33" t="n">
        <f aca="false">T40/U40</f>
        <v>0.00268555195330064</v>
      </c>
    </row>
    <row r="41" s="34" customFormat="true" ht="14.25" hidden="false" customHeight="false" outlineLevel="0" collapsed="false">
      <c r="A41" s="1" t="s">
        <v>29</v>
      </c>
      <c r="B41" s="2" t="n">
        <v>44685</v>
      </c>
      <c r="C41" s="26" t="s">
        <v>30</v>
      </c>
      <c r="D41" s="3" t="n">
        <v>44686</v>
      </c>
      <c r="E41" s="27" t="s">
        <v>31</v>
      </c>
      <c r="F41" s="27" t="s">
        <v>32</v>
      </c>
      <c r="G41" s="27" t="n">
        <v>531171508</v>
      </c>
      <c r="H41" s="28" t="n">
        <v>0.333333333333333</v>
      </c>
      <c r="I41" s="5" t="s">
        <v>38</v>
      </c>
      <c r="J41" s="29" t="n">
        <v>12</v>
      </c>
      <c r="K41" s="7" t="n">
        <v>17.3</v>
      </c>
      <c r="L41" s="7" t="n">
        <v>10</v>
      </c>
      <c r="M41" s="7" t="n">
        <v>1320</v>
      </c>
      <c r="N41" s="7" t="n">
        <v>8.16</v>
      </c>
      <c r="O41" s="8" t="n">
        <v>17765</v>
      </c>
      <c r="P41" s="30" t="n">
        <f aca="false">(O41*1000)/24/60/60</f>
        <v>205.613425925926</v>
      </c>
      <c r="Q41" s="29" t="s">
        <v>41</v>
      </c>
      <c r="R41" s="6" t="n">
        <v>13.7</v>
      </c>
      <c r="S41" s="9" t="n">
        <v>44104.7486416478</v>
      </c>
      <c r="T41" s="9" t="n">
        <v>23861.8688993213</v>
      </c>
      <c r="U41" s="9" t="n">
        <v>108485339.548941</v>
      </c>
      <c r="V41" s="10" t="n">
        <f aca="false">S41/1000</f>
        <v>44.1047486416478</v>
      </c>
      <c r="W41" s="10" t="n">
        <f aca="false">T41/1000</f>
        <v>23.8618688993213</v>
      </c>
      <c r="X41" s="10" t="n">
        <f aca="false">U41/1000</f>
        <v>108485.339548941</v>
      </c>
      <c r="Y41" s="1" t="s">
        <v>45</v>
      </c>
      <c r="Z41" s="34" t="n">
        <v>386.6</v>
      </c>
      <c r="AC41" s="33" t="n">
        <f aca="false">S41/U41</f>
        <v>0.000406550312005531</v>
      </c>
      <c r="AD41" s="33" t="n">
        <f aca="false">T41/U41</f>
        <v>0.000219954779129917</v>
      </c>
    </row>
    <row r="42" s="34" customFormat="true" ht="14.25" hidden="false" customHeight="false" outlineLevel="0" collapsed="false">
      <c r="A42" s="1" t="s">
        <v>29</v>
      </c>
      <c r="B42" s="2" t="n">
        <v>44685</v>
      </c>
      <c r="C42" s="26" t="s">
        <v>30</v>
      </c>
      <c r="D42" s="3" t="n">
        <v>44686</v>
      </c>
      <c r="E42" s="27" t="s">
        <v>35</v>
      </c>
      <c r="F42" s="27" t="s">
        <v>36</v>
      </c>
      <c r="G42" s="27" t="n">
        <v>531172024</v>
      </c>
      <c r="H42" s="28" t="n">
        <v>0.333333333333333</v>
      </c>
      <c r="I42" s="5" t="s">
        <v>38</v>
      </c>
      <c r="J42" s="29" t="n">
        <v>12</v>
      </c>
      <c r="K42" s="7" t="n">
        <v>16.3</v>
      </c>
      <c r="L42" s="7" t="n">
        <v>10</v>
      </c>
      <c r="M42" s="7" t="n">
        <v>810</v>
      </c>
      <c r="N42" s="7" t="n">
        <v>5.89</v>
      </c>
      <c r="O42" s="8" t="n">
        <v>19311</v>
      </c>
      <c r="P42" s="30" t="n">
        <f aca="false">(O42*1000)/24/60/60</f>
        <v>223.506944444444</v>
      </c>
      <c r="Q42" s="29" t="s">
        <v>41</v>
      </c>
      <c r="R42" s="6" t="n">
        <v>36.6</v>
      </c>
      <c r="S42" s="9" t="n">
        <v>5754.24255833863</v>
      </c>
      <c r="T42" s="9" t="n">
        <v>3463.69759101506</v>
      </c>
      <c r="U42" s="9" t="n">
        <v>6176559.40558567</v>
      </c>
      <c r="V42" s="10" t="n">
        <f aca="false">S42/1000</f>
        <v>5.75424255833863</v>
      </c>
      <c r="W42" s="10" t="n">
        <f aca="false">T42/1000</f>
        <v>3.46369759101506</v>
      </c>
      <c r="X42" s="10" t="n">
        <f aca="false">U42/1000</f>
        <v>6176.55940558567</v>
      </c>
      <c r="Y42" s="1" t="s">
        <v>44</v>
      </c>
      <c r="Z42" s="34" t="n">
        <v>386.6</v>
      </c>
      <c r="AC42" s="33" t="n">
        <f aca="false">S42/U42</f>
        <v>0.000931625874614737</v>
      </c>
      <c r="AD42" s="33" t="n">
        <f aca="false">T42/U42</f>
        <v>0.000560781069778545</v>
      </c>
    </row>
    <row r="43" s="34" customFormat="true" ht="14.25" hidden="false" customHeight="false" outlineLevel="0" collapsed="false">
      <c r="A43" s="1" t="s">
        <v>29</v>
      </c>
      <c r="B43" s="2" t="n">
        <v>44690</v>
      </c>
      <c r="C43" s="26" t="s">
        <v>30</v>
      </c>
      <c r="D43" s="3" t="n">
        <v>44691</v>
      </c>
      <c r="E43" s="27" t="s">
        <v>31</v>
      </c>
      <c r="F43" s="27" t="s">
        <v>32</v>
      </c>
      <c r="G43" s="27" t="n">
        <v>531171437</v>
      </c>
      <c r="H43" s="28" t="n">
        <v>0.333333333333333</v>
      </c>
      <c r="I43" s="5" t="s">
        <v>33</v>
      </c>
      <c r="J43" s="29" t="n">
        <v>12</v>
      </c>
      <c r="K43" s="7" t="n">
        <v>18.55</v>
      </c>
      <c r="L43" s="7" t="n">
        <v>15</v>
      </c>
      <c r="M43" s="7" t="n">
        <v>1630</v>
      </c>
      <c r="N43" s="7" t="n">
        <v>8.05</v>
      </c>
      <c r="O43" s="8" t="n">
        <v>18971</v>
      </c>
      <c r="P43" s="30" t="n">
        <f aca="false">(O43*1000)/24/60/60</f>
        <v>219.571759259259</v>
      </c>
      <c r="Q43" s="29" t="s">
        <v>41</v>
      </c>
      <c r="R43" s="6" t="n">
        <v>31.7</v>
      </c>
      <c r="S43" s="9" t="n">
        <v>34525.9798589322</v>
      </c>
      <c r="T43" s="9" t="n">
        <v>34067.9248781099</v>
      </c>
      <c r="U43" s="9" t="n">
        <v>169441173.086096</v>
      </c>
      <c r="V43" s="10" t="n">
        <f aca="false">S43/1000</f>
        <v>34.5259798589322</v>
      </c>
      <c r="W43" s="35" t="n">
        <f aca="false">T43/1000</f>
        <v>34.0679248781099</v>
      </c>
      <c r="X43" s="10" t="n">
        <f aca="false">U43/1000</f>
        <v>169441.173086096</v>
      </c>
      <c r="Y43" s="1" t="s">
        <v>46</v>
      </c>
      <c r="Z43" s="32"/>
      <c r="AC43" s="33" t="n">
        <f aca="false">S43/U43</f>
        <v>0.000203763815075742</v>
      </c>
      <c r="AD43" s="33" t="n">
        <f aca="false">T43/U43</f>
        <v>0.000201060487587626</v>
      </c>
    </row>
    <row r="44" s="32" customFormat="true" ht="14.25" hidden="false" customHeight="false" outlineLevel="0" collapsed="false">
      <c r="A44" s="1" t="s">
        <v>29</v>
      </c>
      <c r="B44" s="2" t="n">
        <v>44690</v>
      </c>
      <c r="C44" s="26" t="s">
        <v>30</v>
      </c>
      <c r="D44" s="3" t="n">
        <v>44691</v>
      </c>
      <c r="E44" s="27" t="s">
        <v>35</v>
      </c>
      <c r="F44" s="27" t="s">
        <v>36</v>
      </c>
      <c r="G44" s="27" t="n">
        <v>531172821</v>
      </c>
      <c r="H44" s="28" t="n">
        <v>0.333333333333333</v>
      </c>
      <c r="I44" s="5" t="s">
        <v>33</v>
      </c>
      <c r="J44" s="29" t="n">
        <v>12</v>
      </c>
      <c r="K44" s="7" t="n">
        <v>17.03</v>
      </c>
      <c r="L44" s="7" t="n">
        <v>15</v>
      </c>
      <c r="M44" s="7" t="n">
        <v>800</v>
      </c>
      <c r="N44" s="7" t="n">
        <v>7.01</v>
      </c>
      <c r="O44" s="8" t="n">
        <v>19577</v>
      </c>
      <c r="P44" s="30" t="n">
        <f aca="false">(O44*1000)/24/60/60</f>
        <v>226.585648148148</v>
      </c>
      <c r="Q44" s="29" t="s">
        <v>41</v>
      </c>
      <c r="R44" s="6" t="n">
        <v>13.6</v>
      </c>
      <c r="S44" s="9" t="n">
        <v>0</v>
      </c>
      <c r="T44" s="9" t="n">
        <v>34067.9248781099</v>
      </c>
      <c r="U44" s="9" t="n">
        <v>10893267.1190883</v>
      </c>
      <c r="V44" s="10" t="n">
        <f aca="false">S44/1000</f>
        <v>0</v>
      </c>
      <c r="W44" s="35" t="n">
        <f aca="false">T44/1000</f>
        <v>34.0679248781099</v>
      </c>
      <c r="X44" s="10" t="n">
        <f aca="false">U44/1000</f>
        <v>10893.2671190883</v>
      </c>
      <c r="Y44" s="1" t="s">
        <v>46</v>
      </c>
      <c r="AC44" s="33" t="n">
        <f aca="false">S44/U44</f>
        <v>0</v>
      </c>
      <c r="AD44" s="33" t="n">
        <f aca="false">T44/U44</f>
        <v>0.00312742949435369</v>
      </c>
    </row>
    <row r="45" s="32" customFormat="true" ht="14.25" hidden="false" customHeight="false" outlineLevel="0" collapsed="false">
      <c r="A45" s="1" t="s">
        <v>29</v>
      </c>
      <c r="B45" s="2" t="n">
        <v>44692</v>
      </c>
      <c r="C45" s="26" t="s">
        <v>30</v>
      </c>
      <c r="D45" s="3" t="n">
        <v>44693</v>
      </c>
      <c r="E45" s="27" t="s">
        <v>31</v>
      </c>
      <c r="F45" s="27" t="s">
        <v>32</v>
      </c>
      <c r="G45" s="27" t="n">
        <v>531171656</v>
      </c>
      <c r="H45" s="28" t="n">
        <v>0.333333333333333</v>
      </c>
      <c r="I45" s="5" t="s">
        <v>33</v>
      </c>
      <c r="J45" s="29" t="n">
        <v>12</v>
      </c>
      <c r="K45" s="7" t="n">
        <v>18.88</v>
      </c>
      <c r="L45" s="7" t="n">
        <v>14</v>
      </c>
      <c r="M45" s="7" t="n">
        <v>1520</v>
      </c>
      <c r="N45" s="7" t="n">
        <v>8.11</v>
      </c>
      <c r="O45" s="8" t="n">
        <v>17236</v>
      </c>
      <c r="P45" s="30" t="n">
        <f aca="false">(O45*1000)/24/60/60</f>
        <v>199.490740740741</v>
      </c>
      <c r="Q45" s="29" t="s">
        <v>41</v>
      </c>
      <c r="R45" s="29" t="s">
        <v>47</v>
      </c>
      <c r="S45" s="9" t="n">
        <v>9047.55029863725</v>
      </c>
      <c r="T45" s="9" t="n">
        <v>8626.50255701949</v>
      </c>
      <c r="U45" s="9" t="n">
        <v>2466426.38171041</v>
      </c>
      <c r="V45" s="10" t="n">
        <f aca="false">S45/1000</f>
        <v>9.04755029863725</v>
      </c>
      <c r="W45" s="10" t="n">
        <f aca="false">T45/1000</f>
        <v>8.62650255701949</v>
      </c>
      <c r="X45" s="10" t="n">
        <f aca="false">U45/1000</f>
        <v>2466.42638171041</v>
      </c>
      <c r="Y45" s="1" t="s">
        <v>48</v>
      </c>
      <c r="Z45" s="1"/>
      <c r="AC45" s="33" t="n">
        <f aca="false">S45/U45</f>
        <v>0.00366828313454991</v>
      </c>
      <c r="AD45" s="33" t="n">
        <f aca="false">T45/U45</f>
        <v>0.00349757147466012</v>
      </c>
    </row>
    <row r="46" s="1" customFormat="true" ht="14.25" hidden="false" customHeight="false" outlineLevel="0" collapsed="false">
      <c r="A46" s="1" t="s">
        <v>29</v>
      </c>
      <c r="B46" s="2" t="n">
        <v>44692</v>
      </c>
      <c r="C46" s="26" t="s">
        <v>30</v>
      </c>
      <c r="D46" s="3" t="n">
        <v>44693</v>
      </c>
      <c r="E46" s="27" t="s">
        <v>35</v>
      </c>
      <c r="F46" s="27" t="s">
        <v>36</v>
      </c>
      <c r="G46" s="27" t="n">
        <v>531172822</v>
      </c>
      <c r="H46" s="28" t="n">
        <v>0.333333333333333</v>
      </c>
      <c r="I46" s="5" t="s">
        <v>33</v>
      </c>
      <c r="J46" s="29" t="s">
        <v>49</v>
      </c>
      <c r="K46" s="7" t="n">
        <v>16.88</v>
      </c>
      <c r="L46" s="7" t="n">
        <v>14</v>
      </c>
      <c r="M46" s="7" t="n">
        <v>860</v>
      </c>
      <c r="N46" s="7" t="n">
        <v>6.92</v>
      </c>
      <c r="O46" s="8" t="n">
        <v>19127</v>
      </c>
      <c r="P46" s="30" t="n">
        <f aca="false">(O46*1000)/24/60/60</f>
        <v>221.377314814815</v>
      </c>
      <c r="Q46" s="29" t="s">
        <v>41</v>
      </c>
      <c r="R46" s="29" t="s">
        <v>50</v>
      </c>
      <c r="S46" s="9" t="n">
        <v>9047.55029863725</v>
      </c>
      <c r="T46" s="9" t="n">
        <v>8626.50255701949</v>
      </c>
      <c r="U46" s="9" t="n">
        <v>8393862.23281426</v>
      </c>
      <c r="V46" s="10" t="n">
        <f aca="false">S46/1000</f>
        <v>9.04755029863725</v>
      </c>
      <c r="W46" s="10" t="n">
        <f aca="false">T46/1000</f>
        <v>8.62650255701949</v>
      </c>
      <c r="X46" s="10" t="n">
        <f aca="false">U46/1000</f>
        <v>8393.86223281426</v>
      </c>
      <c r="Y46" s="1" t="s">
        <v>51</v>
      </c>
      <c r="Z46" s="34"/>
      <c r="AC46" s="33" t="n">
        <f aca="false">S46/U46</f>
        <v>0.00107787691144936</v>
      </c>
      <c r="AD46" s="33" t="n">
        <f aca="false">T46/U46</f>
        <v>0.00102771552805522</v>
      </c>
    </row>
    <row r="47" s="34" customFormat="true" ht="14.25" hidden="false" customHeight="false" outlineLevel="0" collapsed="false">
      <c r="A47" s="1" t="s">
        <v>29</v>
      </c>
      <c r="B47" s="2" t="n">
        <v>44697</v>
      </c>
      <c r="C47" s="26" t="s">
        <v>30</v>
      </c>
      <c r="D47" s="3" t="n">
        <v>44698</v>
      </c>
      <c r="E47" s="27" t="s">
        <v>31</v>
      </c>
      <c r="F47" s="27" t="s">
        <v>32</v>
      </c>
      <c r="G47" s="27" t="n">
        <v>531171401</v>
      </c>
      <c r="H47" s="28" t="n">
        <v>0.333333333333333</v>
      </c>
      <c r="I47" s="5" t="s">
        <v>39</v>
      </c>
      <c r="J47" s="29" t="n">
        <v>12</v>
      </c>
      <c r="K47" s="7" t="n">
        <v>18.07</v>
      </c>
      <c r="L47" s="7" t="n">
        <v>15</v>
      </c>
      <c r="M47" s="7" t="n">
        <v>1000</v>
      </c>
      <c r="N47" s="7" t="n">
        <v>7.9</v>
      </c>
      <c r="O47" s="8" t="n">
        <v>39705</v>
      </c>
      <c r="P47" s="30" t="n">
        <f aca="false">(O47*1000)/24/60/60</f>
        <v>459.548611111111</v>
      </c>
      <c r="Q47" s="29" t="s">
        <v>52</v>
      </c>
      <c r="R47" s="6" t="n">
        <v>18.8</v>
      </c>
      <c r="S47" s="9" t="n">
        <v>9047.55029863725</v>
      </c>
      <c r="T47" s="9" t="n">
        <v>8626.50255701949</v>
      </c>
      <c r="U47" s="9" t="n">
        <v>8994118.22431685</v>
      </c>
      <c r="V47" s="10" t="n">
        <f aca="false">S47/1000</f>
        <v>9.04755029863725</v>
      </c>
      <c r="W47" s="10" t="n">
        <f aca="false">T47/1000</f>
        <v>8.62650255701949</v>
      </c>
      <c r="X47" s="10" t="n">
        <f aca="false">U47/1000</f>
        <v>8994.11822431685</v>
      </c>
      <c r="Y47" s="1"/>
      <c r="Z47" s="1" t="n">
        <v>290.4</v>
      </c>
      <c r="AC47" s="33" t="n">
        <f aca="false">S47/U47</f>
        <v>0.00100594077962817</v>
      </c>
      <c r="AD47" s="33" t="n">
        <f aca="false">T47/U47</f>
        <v>0.000959127103054587</v>
      </c>
    </row>
    <row r="48" s="1" customFormat="true" ht="14.25" hidden="false" customHeight="false" outlineLevel="0" collapsed="false">
      <c r="A48" s="1" t="s">
        <v>29</v>
      </c>
      <c r="B48" s="2" t="n">
        <v>44697</v>
      </c>
      <c r="C48" s="26" t="s">
        <v>30</v>
      </c>
      <c r="D48" s="3" t="n">
        <v>44698</v>
      </c>
      <c r="E48" s="27" t="s">
        <v>35</v>
      </c>
      <c r="F48" s="27" t="s">
        <v>36</v>
      </c>
      <c r="G48" s="27" t="n">
        <v>531172542</v>
      </c>
      <c r="H48" s="28" t="n">
        <v>0.333333333333333</v>
      </c>
      <c r="I48" s="5" t="s">
        <v>39</v>
      </c>
      <c r="J48" s="29" t="n">
        <v>12</v>
      </c>
      <c r="K48" s="7" t="n">
        <v>17.71</v>
      </c>
      <c r="L48" s="7" t="n">
        <v>15</v>
      </c>
      <c r="M48" s="7" t="n">
        <v>630</v>
      </c>
      <c r="N48" s="7" t="n">
        <v>6.88</v>
      </c>
      <c r="O48" s="8" t="n">
        <v>42720</v>
      </c>
      <c r="P48" s="30" t="n">
        <f aca="false">(O48*1000)/24/60/60</f>
        <v>494.444444444444</v>
      </c>
      <c r="Q48" s="29" t="s">
        <v>52</v>
      </c>
      <c r="R48" s="6" t="n">
        <v>4.4</v>
      </c>
      <c r="S48" s="9" t="n">
        <v>9047.55029863725</v>
      </c>
      <c r="T48" s="9" t="n">
        <v>14029.7713341086</v>
      </c>
      <c r="U48" s="9" t="n">
        <v>11697487.4111999</v>
      </c>
      <c r="V48" s="10" t="n">
        <f aca="false">S48/1000</f>
        <v>9.04755029863725</v>
      </c>
      <c r="W48" s="10" t="n">
        <f aca="false">T48/1000</f>
        <v>14.0297713341086</v>
      </c>
      <c r="X48" s="10" t="n">
        <f aca="false">U48/1000</f>
        <v>11697.4874111999</v>
      </c>
      <c r="Z48" s="34" t="n">
        <v>290.4</v>
      </c>
      <c r="AC48" s="33" t="n">
        <f aca="false">S48/U48</f>
        <v>0.00077346099898125</v>
      </c>
      <c r="AD48" s="33" t="n">
        <f aca="false">T48/U48</f>
        <v>0.00119938332403552</v>
      </c>
    </row>
    <row r="49" s="34" customFormat="true" ht="14.25" hidden="false" customHeight="false" outlineLevel="0" collapsed="false">
      <c r="A49" s="1" t="s">
        <v>29</v>
      </c>
      <c r="B49" s="2" t="n">
        <v>44699</v>
      </c>
      <c r="C49" s="26" t="s">
        <v>30</v>
      </c>
      <c r="D49" s="3" t="n">
        <v>44700</v>
      </c>
      <c r="E49" s="27" t="s">
        <v>31</v>
      </c>
      <c r="F49" s="27" t="s">
        <v>32</v>
      </c>
      <c r="G49" s="27" t="n">
        <v>531171866</v>
      </c>
      <c r="H49" s="28" t="n">
        <v>0.333333333333333</v>
      </c>
      <c r="I49" s="5" t="s">
        <v>39</v>
      </c>
      <c r="J49" s="29" t="n">
        <v>10</v>
      </c>
      <c r="K49" s="7" t="n">
        <v>19.15</v>
      </c>
      <c r="L49" s="7" t="n">
        <v>21</v>
      </c>
      <c r="M49" s="7" t="n">
        <v>1420</v>
      </c>
      <c r="N49" s="7" t="n">
        <v>7.99</v>
      </c>
      <c r="O49" s="8" t="n">
        <v>23820</v>
      </c>
      <c r="P49" s="30" t="n">
        <f aca="false">(O49*1000)/24/60/60</f>
        <v>275.694444444444</v>
      </c>
      <c r="Q49" s="29" t="s">
        <v>34</v>
      </c>
      <c r="R49" s="6" t="n">
        <v>6</v>
      </c>
      <c r="S49" s="9" t="n">
        <v>13385.6522958716</v>
      </c>
      <c r="T49" s="9" t="n">
        <v>17479.6094390606</v>
      </c>
      <c r="U49" s="9" t="n">
        <v>18874479.6254756</v>
      </c>
      <c r="V49" s="10" t="n">
        <f aca="false">S49/1000</f>
        <v>13.3856522958716</v>
      </c>
      <c r="W49" s="10" t="n">
        <f aca="false">T49/1000</f>
        <v>17.4796094390606</v>
      </c>
      <c r="X49" s="10" t="n">
        <f aca="false">U49/1000</f>
        <v>18874.4796254756</v>
      </c>
      <c r="Y49" s="1"/>
      <c r="Z49" s="1" t="n">
        <v>273.2</v>
      </c>
      <c r="AC49" s="33" t="n">
        <f aca="false">S49/U49</f>
        <v>0.000709193183678793</v>
      </c>
      <c r="AD49" s="33" t="n">
        <f aca="false">T49/U49</f>
        <v>0.000926097555318434</v>
      </c>
    </row>
    <row r="50" s="1" customFormat="true" ht="14.25" hidden="false" customHeight="false" outlineLevel="0" collapsed="false">
      <c r="A50" s="1" t="s">
        <v>29</v>
      </c>
      <c r="B50" s="2" t="n">
        <v>44699</v>
      </c>
      <c r="C50" s="26" t="s">
        <v>30</v>
      </c>
      <c r="D50" s="3" t="n">
        <v>44700</v>
      </c>
      <c r="E50" s="27" t="s">
        <v>35</v>
      </c>
      <c r="F50" s="27" t="s">
        <v>36</v>
      </c>
      <c r="G50" s="27" t="n">
        <v>531172547</v>
      </c>
      <c r="H50" s="28" t="n">
        <v>0.333333333333333</v>
      </c>
      <c r="I50" s="5" t="s">
        <v>39</v>
      </c>
      <c r="J50" s="29" t="n">
        <v>10</v>
      </c>
      <c r="K50" s="7" t="n">
        <v>17.83</v>
      </c>
      <c r="L50" s="7" t="n">
        <v>21</v>
      </c>
      <c r="M50" s="7" t="n">
        <v>680</v>
      </c>
      <c r="N50" s="7" t="n">
        <v>7.21</v>
      </c>
      <c r="O50" s="8" t="n">
        <v>19474</v>
      </c>
      <c r="P50" s="30" t="n">
        <f aca="false">(O50*1000)/24/60/60</f>
        <v>225.393518518519</v>
      </c>
      <c r="Q50" s="29" t="s">
        <v>34</v>
      </c>
      <c r="R50" s="6" t="n">
        <v>9.9</v>
      </c>
      <c r="S50" s="9" t="n">
        <v>10654.4939922733</v>
      </c>
      <c r="T50" s="9" t="n">
        <v>8626.50255701949</v>
      </c>
      <c r="U50" s="9" t="n">
        <v>8408014.75388321</v>
      </c>
      <c r="V50" s="10" t="n">
        <f aca="false">S50/1000</f>
        <v>10.6544939922733</v>
      </c>
      <c r="W50" s="10" t="n">
        <f aca="false">T50/1000</f>
        <v>8.62650255701949</v>
      </c>
      <c r="X50" s="10" t="n">
        <f aca="false">U50/1000</f>
        <v>8408.01475388321</v>
      </c>
      <c r="Z50" s="34" t="n">
        <v>273.2</v>
      </c>
      <c r="AC50" s="33" t="n">
        <f aca="false">S50/U50</f>
        <v>0.00126718307521434</v>
      </c>
      <c r="AD50" s="33" t="n">
        <f aca="false">T50/U50</f>
        <v>0.00102598565886619</v>
      </c>
    </row>
    <row r="51" s="34" customFormat="true" ht="14.25" hidden="false" customHeight="false" outlineLevel="0" collapsed="false">
      <c r="A51" s="1" t="s">
        <v>29</v>
      </c>
      <c r="B51" s="2" t="n">
        <v>44704</v>
      </c>
      <c r="C51" s="26" t="s">
        <v>30</v>
      </c>
      <c r="D51" s="3" t="n">
        <v>44705</v>
      </c>
      <c r="E51" s="27" t="s">
        <v>31</v>
      </c>
      <c r="F51" s="27" t="s">
        <v>32</v>
      </c>
      <c r="G51" s="27" t="n">
        <v>531171241</v>
      </c>
      <c r="H51" s="28" t="n">
        <v>0.333333333333333</v>
      </c>
      <c r="I51" s="5" t="s">
        <v>38</v>
      </c>
      <c r="J51" s="29" t="n">
        <v>12</v>
      </c>
      <c r="K51" s="7" t="n">
        <v>16.9</v>
      </c>
      <c r="L51" s="7" t="n">
        <v>12</v>
      </c>
      <c r="M51" s="7" t="n">
        <v>280</v>
      </c>
      <c r="N51" s="7" t="n">
        <v>7.67</v>
      </c>
      <c r="O51" s="8" t="n">
        <v>52923</v>
      </c>
      <c r="P51" s="30" t="n">
        <f aca="false">(O51*1000)/24/60/60</f>
        <v>612.534722222222</v>
      </c>
      <c r="Q51" s="29" t="s">
        <v>53</v>
      </c>
      <c r="R51" s="6" t="n">
        <v>4.4</v>
      </c>
      <c r="S51" s="9" t="n">
        <v>9047.55029863725</v>
      </c>
      <c r="T51" s="9" t="n">
        <v>8626.50255701949</v>
      </c>
      <c r="U51" s="9" t="n">
        <v>6985771.3441806</v>
      </c>
      <c r="V51" s="10" t="n">
        <f aca="false">S51/1000</f>
        <v>9.04755029863725</v>
      </c>
      <c r="W51" s="10" t="n">
        <f aca="false">T51/1000</f>
        <v>8.62650255701949</v>
      </c>
      <c r="X51" s="10" t="n">
        <f aca="false">U51/1000</f>
        <v>6985.7713441806</v>
      </c>
      <c r="Y51" s="1"/>
      <c r="Z51" s="1" t="n">
        <v>192.1</v>
      </c>
      <c r="AC51" s="33" t="n">
        <f aca="false">S51/U51</f>
        <v>0.00129513977095374</v>
      </c>
      <c r="AD51" s="33" t="n">
        <f aca="false">T51/U51</f>
        <v>0.00123486758040051</v>
      </c>
    </row>
    <row r="52" s="1" customFormat="true" ht="14.25" hidden="false" customHeight="false" outlineLevel="0" collapsed="false">
      <c r="A52" s="1" t="s">
        <v>29</v>
      </c>
      <c r="B52" s="2" t="n">
        <v>44704</v>
      </c>
      <c r="C52" s="26" t="s">
        <v>30</v>
      </c>
      <c r="D52" s="3" t="n">
        <v>44705</v>
      </c>
      <c r="E52" s="27" t="s">
        <v>35</v>
      </c>
      <c r="F52" s="27" t="s">
        <v>36</v>
      </c>
      <c r="G52" s="27" t="n">
        <v>531172353</v>
      </c>
      <c r="H52" s="28" t="n">
        <v>0.333333333333333</v>
      </c>
      <c r="I52" s="5" t="s">
        <v>38</v>
      </c>
      <c r="J52" s="29" t="n">
        <v>12</v>
      </c>
      <c r="K52" s="7" t="n">
        <v>16.6</v>
      </c>
      <c r="L52" s="7" t="n">
        <v>12</v>
      </c>
      <c r="M52" s="7" t="n">
        <v>100</v>
      </c>
      <c r="N52" s="7" t="n">
        <v>6.94</v>
      </c>
      <c r="O52" s="8" t="n">
        <v>64481</v>
      </c>
      <c r="P52" s="30" t="n">
        <f aca="false">(O52*1000)/24/60/60</f>
        <v>746.30787037037</v>
      </c>
      <c r="Q52" s="29" t="s">
        <v>53</v>
      </c>
      <c r="R52" s="6" t="n">
        <v>3.3</v>
      </c>
      <c r="S52" s="9" t="n">
        <v>9047.55029863725</v>
      </c>
      <c r="T52" s="9" t="n">
        <v>8626.50255701949</v>
      </c>
      <c r="U52" s="9" t="n">
        <v>2620636.41364241</v>
      </c>
      <c r="V52" s="10" t="n">
        <f aca="false">S52/1000</f>
        <v>9.04755029863725</v>
      </c>
      <c r="W52" s="10" t="n">
        <f aca="false">T52/1000</f>
        <v>8.62650255701949</v>
      </c>
      <c r="X52" s="10" t="n">
        <f aca="false">U52/1000</f>
        <v>2620.63641364241</v>
      </c>
      <c r="Z52" s="34" t="n">
        <v>192.1</v>
      </c>
      <c r="AC52" s="33" t="n">
        <f aca="false">S52/U52</f>
        <v>0.00345242485815195</v>
      </c>
      <c r="AD52" s="33" t="n">
        <f aca="false">T52/U52</f>
        <v>0.0032917586400433</v>
      </c>
    </row>
    <row r="53" s="34" customFormat="true" ht="14.25" hidden="false" customHeight="false" outlineLevel="0" collapsed="false">
      <c r="A53" s="1" t="s">
        <v>29</v>
      </c>
      <c r="B53" s="2" t="n">
        <v>44705</v>
      </c>
      <c r="C53" s="26" t="s">
        <v>30</v>
      </c>
      <c r="D53" s="3" t="n">
        <v>44706</v>
      </c>
      <c r="E53" s="27" t="s">
        <v>31</v>
      </c>
      <c r="F53" s="27" t="s">
        <v>32</v>
      </c>
      <c r="G53" s="27" t="n">
        <v>531171907</v>
      </c>
      <c r="H53" s="28" t="n">
        <v>0.333333333333333</v>
      </c>
      <c r="I53" s="5" t="s">
        <v>38</v>
      </c>
      <c r="J53" s="29" t="n">
        <v>12</v>
      </c>
      <c r="K53" s="7" t="n">
        <v>18.4</v>
      </c>
      <c r="L53" s="7" t="n">
        <v>13</v>
      </c>
      <c r="M53" s="7" t="n">
        <v>1240</v>
      </c>
      <c r="N53" s="7" t="n">
        <v>8.15</v>
      </c>
      <c r="O53" s="8" t="n">
        <v>53872</v>
      </c>
      <c r="P53" s="30" t="n">
        <f aca="false">(O53*1000)/24/60/60</f>
        <v>623.518518518519</v>
      </c>
      <c r="Q53" s="29" t="s">
        <v>34</v>
      </c>
      <c r="R53" s="6" t="n">
        <v>2.8</v>
      </c>
      <c r="S53" s="9" t="n">
        <v>9047.55029863725</v>
      </c>
      <c r="T53" s="9" t="n">
        <v>10021.5645268921</v>
      </c>
      <c r="U53" s="9" t="n">
        <v>3548949.68238578</v>
      </c>
      <c r="V53" s="10" t="n">
        <f aca="false">S53/1000</f>
        <v>9.04755029863725</v>
      </c>
      <c r="W53" s="10" t="n">
        <f aca="false">T53/1000</f>
        <v>10.0215645268921</v>
      </c>
      <c r="X53" s="10" t="n">
        <f aca="false">U53/1000</f>
        <v>3548.94968238578</v>
      </c>
      <c r="Y53" s="1"/>
      <c r="Z53" s="1"/>
      <c r="AC53" s="33" t="n">
        <f aca="false">S53/U53</f>
        <v>0.00254935998206518</v>
      </c>
      <c r="AD53" s="33" t="n">
        <f aca="false">T53/U53</f>
        <v>0.00282381138753004</v>
      </c>
    </row>
    <row r="54" s="1" customFormat="true" ht="14.25" hidden="false" customHeight="false" outlineLevel="0" collapsed="false">
      <c r="A54" s="1" t="s">
        <v>29</v>
      </c>
      <c r="B54" s="2" t="n">
        <v>44705</v>
      </c>
      <c r="C54" s="26" t="s">
        <v>30</v>
      </c>
      <c r="D54" s="3" t="n">
        <v>44706</v>
      </c>
      <c r="E54" s="27" t="s">
        <v>35</v>
      </c>
      <c r="F54" s="27" t="s">
        <v>36</v>
      </c>
      <c r="G54" s="27" t="n">
        <v>531172091</v>
      </c>
      <c r="H54" s="28" t="n">
        <v>0.333333333333333</v>
      </c>
      <c r="I54" s="5" t="s">
        <v>38</v>
      </c>
      <c r="J54" s="29" t="n">
        <v>12</v>
      </c>
      <c r="K54" s="7" t="n">
        <v>17.6</v>
      </c>
      <c r="L54" s="7" t="n">
        <v>13</v>
      </c>
      <c r="M54" s="7" t="n">
        <v>550</v>
      </c>
      <c r="N54" s="7" t="n">
        <v>6.63</v>
      </c>
      <c r="O54" s="8" t="n">
        <v>57872</v>
      </c>
      <c r="P54" s="30" t="n">
        <f aca="false">(O54*1000)/24/60/60</f>
        <v>669.814814814815</v>
      </c>
      <c r="Q54" s="29" t="s">
        <v>34</v>
      </c>
      <c r="R54" s="6" t="n">
        <v>7.8</v>
      </c>
      <c r="S54" s="9" t="n">
        <v>9047.55029863725</v>
      </c>
      <c r="T54" s="9" t="n">
        <v>8626.50255701949</v>
      </c>
      <c r="U54" s="9" t="n">
        <v>11936365.9338116</v>
      </c>
      <c r="V54" s="10" t="n">
        <f aca="false">S54/1000</f>
        <v>9.04755029863725</v>
      </c>
      <c r="W54" s="10" t="n">
        <f aca="false">T54/1000</f>
        <v>8.62650255701949</v>
      </c>
      <c r="X54" s="10" t="n">
        <f aca="false">U54/1000</f>
        <v>11936.3659338116</v>
      </c>
      <c r="Z54" s="34"/>
      <c r="AC54" s="33" t="n">
        <f aca="false">S54/U54</f>
        <v>0.000757981981183122</v>
      </c>
      <c r="AD54" s="33" t="n">
        <f aca="false">T54/U54</f>
        <v>0.000722707615102816</v>
      </c>
    </row>
    <row r="55" s="34" customFormat="true" ht="14.25" hidden="false" customHeight="false" outlineLevel="0" collapsed="false">
      <c r="A55" s="1" t="s">
        <v>29</v>
      </c>
      <c r="B55" s="2" t="n">
        <v>44711</v>
      </c>
      <c r="C55" s="26" t="s">
        <v>30</v>
      </c>
      <c r="D55" s="3" t="n">
        <v>44712</v>
      </c>
      <c r="E55" s="27" t="s">
        <v>31</v>
      </c>
      <c r="F55" s="27" t="s">
        <v>32</v>
      </c>
      <c r="G55" s="27" t="n">
        <v>531171400</v>
      </c>
      <c r="H55" s="28" t="n">
        <v>0.333333333333333</v>
      </c>
      <c r="I55" s="5" t="s">
        <v>33</v>
      </c>
      <c r="J55" s="29" t="n">
        <v>12</v>
      </c>
      <c r="K55" s="7" t="n">
        <v>17.61</v>
      </c>
      <c r="L55" s="7" t="n">
        <v>10</v>
      </c>
      <c r="M55" s="7" t="n">
        <v>970</v>
      </c>
      <c r="N55" s="7" t="n">
        <v>8.04</v>
      </c>
      <c r="O55" s="8" t="n">
        <v>19955</v>
      </c>
      <c r="P55" s="30" t="n">
        <f aca="false">(O55*1000)/24/60/60</f>
        <v>230.960648148148</v>
      </c>
      <c r="Q55" s="29" t="s">
        <v>40</v>
      </c>
      <c r="R55" s="6" t="n">
        <v>9.1</v>
      </c>
      <c r="S55" s="9" t="n">
        <v>18817.416756228</v>
      </c>
      <c r="T55" s="9" t="n">
        <v>9856.03207273062</v>
      </c>
      <c r="U55" s="9" t="n">
        <v>5574118.42823923</v>
      </c>
      <c r="V55" s="10" t="n">
        <f aca="false">S55/1000</f>
        <v>18.817416756228</v>
      </c>
      <c r="W55" s="10" t="n">
        <f aca="false">T55/1000</f>
        <v>9.85603207273062</v>
      </c>
      <c r="X55" s="10" t="n">
        <f aca="false">U55/1000</f>
        <v>5574.11842823923</v>
      </c>
      <c r="Y55" s="1"/>
      <c r="Z55" s="1" t="n">
        <v>147.3</v>
      </c>
      <c r="AC55" s="33" t="n">
        <f aca="false">S55/U55</f>
        <v>0.00337585521342647</v>
      </c>
      <c r="AD55" s="33" t="n">
        <f aca="false">T55/U55</f>
        <v>0.00176817773063425</v>
      </c>
    </row>
    <row r="56" s="1" customFormat="true" ht="14.25" hidden="false" customHeight="false" outlineLevel="0" collapsed="false">
      <c r="A56" s="1" t="s">
        <v>29</v>
      </c>
      <c r="B56" s="2" t="n">
        <v>44711</v>
      </c>
      <c r="C56" s="26" t="s">
        <v>30</v>
      </c>
      <c r="D56" s="3" t="n">
        <v>44712</v>
      </c>
      <c r="E56" s="27" t="s">
        <v>35</v>
      </c>
      <c r="F56" s="27" t="s">
        <v>36</v>
      </c>
      <c r="G56" s="27" t="n">
        <v>531172357</v>
      </c>
      <c r="H56" s="28" t="n">
        <v>0.333333333333333</v>
      </c>
      <c r="I56" s="5" t="s">
        <v>33</v>
      </c>
      <c r="J56" s="29" t="n">
        <v>12</v>
      </c>
      <c r="K56" s="7" t="n">
        <v>17.49</v>
      </c>
      <c r="L56" s="7" t="n">
        <v>10</v>
      </c>
      <c r="M56" s="7" t="n">
        <v>710</v>
      </c>
      <c r="N56" s="7" t="n">
        <v>7.21</v>
      </c>
      <c r="O56" s="8" t="n">
        <v>21276</v>
      </c>
      <c r="P56" s="30" t="n">
        <f aca="false">(O56*1000)/24/60/60</f>
        <v>246.25</v>
      </c>
      <c r="Q56" s="29" t="s">
        <v>40</v>
      </c>
      <c r="R56" s="6" t="n">
        <v>18.2</v>
      </c>
      <c r="S56" s="9" t="n">
        <v>44393.5190249544</v>
      </c>
      <c r="T56" s="9" t="n">
        <v>39665.7749607472</v>
      </c>
      <c r="U56" s="9" t="n">
        <v>6443119.9145049</v>
      </c>
      <c r="V56" s="10" t="n">
        <f aca="false">S56/1000</f>
        <v>44.3935190249544</v>
      </c>
      <c r="W56" s="10" t="n">
        <f aca="false">T56/1000</f>
        <v>39.6657749607472</v>
      </c>
      <c r="X56" s="10" t="n">
        <f aca="false">U56/1000</f>
        <v>6443.1199145049</v>
      </c>
      <c r="Z56" s="34" t="n">
        <v>147.3</v>
      </c>
      <c r="AC56" s="33" t="n">
        <f aca="false">S56/U56</f>
        <v>0.00689006562255883</v>
      </c>
      <c r="AD56" s="33" t="n">
        <f aca="false">T56/U56</f>
        <v>0.00615629935296574</v>
      </c>
    </row>
    <row r="57" s="34" customFormat="true" ht="14.25" hidden="false" customHeight="false" outlineLevel="0" collapsed="false">
      <c r="A57" s="1" t="s">
        <v>29</v>
      </c>
      <c r="B57" s="2" t="n">
        <v>44713</v>
      </c>
      <c r="C57" s="26" t="s">
        <v>30</v>
      </c>
      <c r="D57" s="3" t="n">
        <v>44714</v>
      </c>
      <c r="E57" s="27" t="s">
        <v>31</v>
      </c>
      <c r="F57" s="27" t="s">
        <v>32</v>
      </c>
      <c r="G57" s="27" t="n">
        <v>531171438</v>
      </c>
      <c r="H57" s="28" t="n">
        <v>0.333333333333333</v>
      </c>
      <c r="I57" s="5" t="s">
        <v>33</v>
      </c>
      <c r="J57" s="29" t="n">
        <v>12</v>
      </c>
      <c r="K57" s="7" t="n">
        <v>19.19</v>
      </c>
      <c r="L57" s="7" t="n">
        <v>11</v>
      </c>
      <c r="M57" s="7" t="n">
        <v>1417</v>
      </c>
      <c r="N57" s="7" t="n">
        <v>8.02</v>
      </c>
      <c r="O57" s="8" t="n">
        <v>17531</v>
      </c>
      <c r="P57" s="30" t="n">
        <f aca="false">(O57*1000)/24/60/60</f>
        <v>202.905092592593</v>
      </c>
      <c r="Q57" s="29" t="s">
        <v>34</v>
      </c>
      <c r="R57" s="6" t="n">
        <v>10.1</v>
      </c>
      <c r="S57" s="9" t="n">
        <v>18817.416756228</v>
      </c>
      <c r="T57" s="9" t="n">
        <v>9856.03207273062</v>
      </c>
      <c r="U57" s="9" t="n">
        <v>12098322.2980269</v>
      </c>
      <c r="V57" s="10" t="n">
        <f aca="false">S57/1000</f>
        <v>18.817416756228</v>
      </c>
      <c r="W57" s="10" t="n">
        <f aca="false">T57/1000</f>
        <v>9.85603207273062</v>
      </c>
      <c r="X57" s="10" t="n">
        <f aca="false">U57/1000</f>
        <v>12098.3222980269</v>
      </c>
      <c r="Y57" s="1"/>
      <c r="Z57" s="1" t="n">
        <v>164.6</v>
      </c>
      <c r="AC57" s="33" t="n">
        <f aca="false">S57/U57</f>
        <v>0.00155537406697265</v>
      </c>
      <c r="AD57" s="33" t="n">
        <f aca="false">T57/U57</f>
        <v>0.000814661060429678</v>
      </c>
    </row>
    <row r="58" s="1" customFormat="true" ht="14.25" hidden="false" customHeight="false" outlineLevel="0" collapsed="false">
      <c r="A58" s="1" t="s">
        <v>29</v>
      </c>
      <c r="B58" s="2" t="n">
        <v>44713</v>
      </c>
      <c r="C58" s="26" t="s">
        <v>30</v>
      </c>
      <c r="D58" s="3" t="n">
        <v>44714</v>
      </c>
      <c r="E58" s="27" t="s">
        <v>35</v>
      </c>
      <c r="F58" s="27" t="s">
        <v>36</v>
      </c>
      <c r="G58" s="27" t="n">
        <v>531172647</v>
      </c>
      <c r="H58" s="28" t="n">
        <v>0.333333333333333</v>
      </c>
      <c r="I58" s="5" t="s">
        <v>33</v>
      </c>
      <c r="J58" s="29" t="n">
        <v>12</v>
      </c>
      <c r="K58" s="7" t="n">
        <v>17.86</v>
      </c>
      <c r="L58" s="7" t="n">
        <v>11</v>
      </c>
      <c r="M58" s="7" t="n">
        <v>840</v>
      </c>
      <c r="N58" s="7" t="n">
        <v>6.91</v>
      </c>
      <c r="O58" s="8" t="n">
        <v>21169</v>
      </c>
      <c r="P58" s="30" t="n">
        <f aca="false">(O58*1000)/24/60/60</f>
        <v>245.011574074074</v>
      </c>
      <c r="Q58" s="29" t="s">
        <v>34</v>
      </c>
      <c r="R58" s="6" t="n">
        <v>12.1</v>
      </c>
      <c r="S58" s="9" t="n">
        <v>44393.5190249544</v>
      </c>
      <c r="T58" s="9" t="n">
        <v>48927.9504718782</v>
      </c>
      <c r="U58" s="9" t="n">
        <v>19324923.4041753</v>
      </c>
      <c r="V58" s="10" t="n">
        <f aca="false">S58/1000</f>
        <v>44.3935190249544</v>
      </c>
      <c r="W58" s="10" t="n">
        <f aca="false">T58/1000</f>
        <v>48.9279504718782</v>
      </c>
      <c r="X58" s="10" t="n">
        <f aca="false">U58/1000</f>
        <v>19324.9234041753</v>
      </c>
      <c r="Z58" s="34" t="n">
        <v>164.6</v>
      </c>
      <c r="AC58" s="33" t="n">
        <f aca="false">S58/U58</f>
        <v>0.00229721578173825</v>
      </c>
      <c r="AD58" s="33" t="n">
        <f aca="false">T58/U58</f>
        <v>0.00253185740758522</v>
      </c>
    </row>
    <row r="59" s="34" customFormat="true" ht="14.25" hidden="false" customHeight="false" outlineLevel="0" collapsed="false">
      <c r="A59" s="1" t="s">
        <v>29</v>
      </c>
      <c r="B59" s="2" t="n">
        <v>44718</v>
      </c>
      <c r="C59" s="26" t="s">
        <v>30</v>
      </c>
      <c r="D59" s="3" t="n">
        <v>44719</v>
      </c>
      <c r="E59" s="27" t="s">
        <v>31</v>
      </c>
      <c r="F59" s="27" t="s">
        <v>32</v>
      </c>
      <c r="G59" s="27" t="n">
        <v>531171538</v>
      </c>
      <c r="H59" s="28" t="n">
        <v>0.333333333333333</v>
      </c>
      <c r="I59" s="5" t="s">
        <v>39</v>
      </c>
      <c r="J59" s="29" t="n">
        <v>12</v>
      </c>
      <c r="K59" s="7" t="n">
        <v>17.56</v>
      </c>
      <c r="L59" s="7" t="n">
        <v>17</v>
      </c>
      <c r="M59" s="7" t="n">
        <v>910</v>
      </c>
      <c r="N59" s="7" t="n">
        <v>7.39</v>
      </c>
      <c r="O59" s="8" t="n">
        <v>17764</v>
      </c>
      <c r="P59" s="30" t="n">
        <f aca="false">(O59*1000)/24/60/60</f>
        <v>205.601851851852</v>
      </c>
      <c r="Q59" s="29" t="s">
        <v>40</v>
      </c>
      <c r="R59" s="6" t="n">
        <v>11.2</v>
      </c>
      <c r="S59" s="9" t="n">
        <v>27589.2817465273</v>
      </c>
      <c r="T59" s="9" t="n">
        <v>7870.16040944203</v>
      </c>
      <c r="U59" s="9" t="n">
        <v>46763047.4831514</v>
      </c>
      <c r="V59" s="10" t="n">
        <f aca="false">S59/1000</f>
        <v>27.5892817465273</v>
      </c>
      <c r="W59" s="10" t="n">
        <f aca="false">T59/1000</f>
        <v>7.87016040944203</v>
      </c>
      <c r="X59" s="10" t="n">
        <f aca="false">U59/1000</f>
        <v>46763.0474831514</v>
      </c>
      <c r="Y59" s="1"/>
      <c r="Z59" s="1" t="n">
        <v>147.6</v>
      </c>
      <c r="AC59" s="33" t="n">
        <f aca="false">S59/U59</f>
        <v>0.000589980406141573</v>
      </c>
      <c r="AD59" s="33" t="n">
        <f aca="false">T59/U59</f>
        <v>0.000168298706628939</v>
      </c>
    </row>
    <row r="60" s="1" customFormat="true" ht="14.25" hidden="false" customHeight="false" outlineLevel="0" collapsed="false">
      <c r="A60" s="1" t="s">
        <v>29</v>
      </c>
      <c r="B60" s="2" t="n">
        <v>44718</v>
      </c>
      <c r="C60" s="26" t="s">
        <v>30</v>
      </c>
      <c r="D60" s="3" t="n">
        <v>44719</v>
      </c>
      <c r="E60" s="27" t="s">
        <v>35</v>
      </c>
      <c r="F60" s="27" t="s">
        <v>36</v>
      </c>
      <c r="G60" s="27" t="n">
        <v>531172031</v>
      </c>
      <c r="H60" s="28" t="n">
        <v>0.333333333333333</v>
      </c>
      <c r="I60" s="5" t="s">
        <v>39</v>
      </c>
      <c r="J60" s="29" t="n">
        <v>12</v>
      </c>
      <c r="K60" s="7" t="n">
        <v>18.72</v>
      </c>
      <c r="L60" s="7" t="n">
        <v>17</v>
      </c>
      <c r="M60" s="7" t="n">
        <v>920</v>
      </c>
      <c r="N60" s="7" t="n">
        <v>6.44</v>
      </c>
      <c r="O60" s="8" t="n">
        <v>21370</v>
      </c>
      <c r="P60" s="30" t="n">
        <f aca="false">(O60*1000)/24/60/60</f>
        <v>247.337962962963</v>
      </c>
      <c r="Q60" s="29" t="s">
        <v>40</v>
      </c>
      <c r="R60" s="6" t="n">
        <v>5.7</v>
      </c>
      <c r="S60" s="9" t="n">
        <v>20230.6004454162</v>
      </c>
      <c r="T60" s="9" t="n">
        <v>8664.48330067771</v>
      </c>
      <c r="U60" s="9" t="n">
        <v>35163972.1339119</v>
      </c>
      <c r="V60" s="10" t="n">
        <f aca="false">S60/1000</f>
        <v>20.2306004454162</v>
      </c>
      <c r="W60" s="10" t="n">
        <f aca="false">T60/1000</f>
        <v>8.66448330067771</v>
      </c>
      <c r="X60" s="10" t="n">
        <f aca="false">U60/1000</f>
        <v>35163.9721339119</v>
      </c>
      <c r="Z60" s="34" t="n">
        <v>147.6</v>
      </c>
      <c r="AC60" s="33" t="n">
        <f aca="false">S60/U60</f>
        <v>0.000575321819968854</v>
      </c>
      <c r="AD60" s="33" t="n">
        <f aca="false">T60/U60</f>
        <v>0.000246402291176933</v>
      </c>
    </row>
    <row r="61" s="34" customFormat="true" ht="14.25" hidden="false" customHeight="false" outlineLevel="0" collapsed="false">
      <c r="A61" s="1" t="s">
        <v>29</v>
      </c>
      <c r="B61" s="2" t="n">
        <v>44720</v>
      </c>
      <c r="C61" s="26" t="s">
        <v>30</v>
      </c>
      <c r="D61" s="3" t="n">
        <v>44721</v>
      </c>
      <c r="E61" s="27" t="s">
        <v>31</v>
      </c>
      <c r="F61" s="27" t="s">
        <v>32</v>
      </c>
      <c r="G61" s="27" t="n">
        <v>531171284</v>
      </c>
      <c r="H61" s="28" t="n">
        <v>0.333333333333333</v>
      </c>
      <c r="I61" s="5" t="s">
        <v>39</v>
      </c>
      <c r="J61" s="29" t="n">
        <v>12</v>
      </c>
      <c r="K61" s="7" t="n">
        <v>17.8</v>
      </c>
      <c r="L61" s="7" t="n">
        <v>14</v>
      </c>
      <c r="M61" s="7" t="n">
        <v>350</v>
      </c>
      <c r="N61" s="7" t="n">
        <v>7.8</v>
      </c>
      <c r="O61" s="8" t="n">
        <v>56201</v>
      </c>
      <c r="P61" s="30" t="n">
        <f aca="false">(O61*1000)/24/60/60</f>
        <v>650.474537037037</v>
      </c>
      <c r="Q61" s="29" t="s">
        <v>40</v>
      </c>
      <c r="R61" s="6" t="n">
        <v>3.3</v>
      </c>
      <c r="S61" s="9" t="n">
        <v>7794.36434079695</v>
      </c>
      <c r="T61" s="9" t="n">
        <v>4098.43796570578</v>
      </c>
      <c r="U61" s="9" t="n">
        <v>11585385.9288585</v>
      </c>
      <c r="V61" s="10" t="n">
        <f aca="false">S61/1000</f>
        <v>7.79436434079695</v>
      </c>
      <c r="W61" s="10" t="n">
        <f aca="false">T61/1000</f>
        <v>4.09843796570578</v>
      </c>
      <c r="X61" s="10" t="n">
        <f aca="false">U61/1000</f>
        <v>11585.3859288585</v>
      </c>
      <c r="Y61" s="1"/>
      <c r="Z61" s="1" t="n">
        <v>240.2</v>
      </c>
      <c r="AC61" s="33" t="n">
        <f aca="false">S61/U61</f>
        <v>0.000672775545731426</v>
      </c>
      <c r="AD61" s="33" t="n">
        <f aca="false">T61/U61</f>
        <v>0.000353759295622325</v>
      </c>
    </row>
    <row r="62" s="1" customFormat="true" ht="14.25" hidden="false" customHeight="false" outlineLevel="0" collapsed="false">
      <c r="A62" s="1" t="s">
        <v>29</v>
      </c>
      <c r="B62" s="2" t="n">
        <v>44720</v>
      </c>
      <c r="C62" s="26" t="s">
        <v>30</v>
      </c>
      <c r="D62" s="3" t="n">
        <v>44721</v>
      </c>
      <c r="E62" s="27" t="s">
        <v>35</v>
      </c>
      <c r="F62" s="27" t="s">
        <v>36</v>
      </c>
      <c r="G62" s="27" t="n">
        <v>531172765</v>
      </c>
      <c r="H62" s="28" t="n">
        <v>0.333333333333333</v>
      </c>
      <c r="I62" s="5" t="s">
        <v>39</v>
      </c>
      <c r="J62" s="29" t="n">
        <v>12</v>
      </c>
      <c r="K62" s="7" t="n">
        <v>16.75</v>
      </c>
      <c r="L62" s="7" t="n">
        <v>14</v>
      </c>
      <c r="M62" s="7" t="n">
        <v>120</v>
      </c>
      <c r="N62" s="7" t="n">
        <v>6.93</v>
      </c>
      <c r="O62" s="8" t="n">
        <v>56045</v>
      </c>
      <c r="P62" s="30" t="n">
        <f aca="false">(O62*1000)/24/60/60</f>
        <v>648.668981481482</v>
      </c>
      <c r="Q62" s="29" t="s">
        <v>40</v>
      </c>
      <c r="R62" s="6" t="n">
        <v>1.4</v>
      </c>
      <c r="S62" s="9" t="n">
        <v>6609.68339684784</v>
      </c>
      <c r="T62" s="9" t="n">
        <v>3464.69759101506</v>
      </c>
      <c r="U62" s="9" t="n">
        <v>5986935.00525585</v>
      </c>
      <c r="V62" s="10" t="n">
        <f aca="false">S62/1000</f>
        <v>6.60968339684784</v>
      </c>
      <c r="W62" s="10" t="n">
        <f aca="false">T62/1000</f>
        <v>3.46469759101506</v>
      </c>
      <c r="X62" s="10" t="n">
        <f aca="false">U62/1000</f>
        <v>5986.93500525585</v>
      </c>
      <c r="Z62" s="34" t="n">
        <v>240.2</v>
      </c>
      <c r="AC62" s="33" t="n">
        <f aca="false">S62/U62</f>
        <v>0.00110401789747931</v>
      </c>
      <c r="AD62" s="33" t="n">
        <f aca="false">T62/U62</f>
        <v>0.000578709738451052</v>
      </c>
    </row>
    <row r="63" s="34" customFormat="true" ht="14.25" hidden="false" customHeight="false" outlineLevel="0" collapsed="false">
      <c r="A63" s="1" t="s">
        <v>29</v>
      </c>
      <c r="B63" s="2" t="n">
        <v>44725</v>
      </c>
      <c r="C63" s="26" t="s">
        <v>30</v>
      </c>
      <c r="D63" s="3" t="n">
        <v>44726</v>
      </c>
      <c r="E63" s="1" t="s">
        <v>54</v>
      </c>
      <c r="F63" s="27" t="s">
        <v>55</v>
      </c>
      <c r="G63" s="27" t="n">
        <v>531173205</v>
      </c>
      <c r="H63" s="28" t="n">
        <v>0.333333333333333</v>
      </c>
      <c r="I63" s="5" t="s">
        <v>38</v>
      </c>
      <c r="J63" s="29" t="n">
        <v>12</v>
      </c>
      <c r="K63" s="7" t="n">
        <v>18.67</v>
      </c>
      <c r="L63" s="7" t="n">
        <v>13</v>
      </c>
      <c r="M63" s="7" t="n">
        <v>870</v>
      </c>
      <c r="N63" s="7" t="n">
        <v>7.17</v>
      </c>
      <c r="O63" s="8" t="n">
        <v>33488</v>
      </c>
      <c r="P63" s="30" t="n">
        <f aca="false">(O63*1000)/24/60/60</f>
        <v>387.592592592593</v>
      </c>
      <c r="Q63" s="29" t="s">
        <v>41</v>
      </c>
      <c r="R63" s="6" t="n">
        <v>2.5</v>
      </c>
      <c r="S63" s="9" t="n">
        <v>22559.3936980712</v>
      </c>
      <c r="T63" s="9" t="n">
        <v>9638.75632077986</v>
      </c>
      <c r="U63" s="9" t="n">
        <v>23188767.3187485</v>
      </c>
      <c r="V63" s="10" t="n">
        <f aca="false">S63/1000</f>
        <v>22.5593936980712</v>
      </c>
      <c r="W63" s="10" t="n">
        <f aca="false">T63/1000</f>
        <v>9.63875632077986</v>
      </c>
      <c r="X63" s="10" t="n">
        <f aca="false">U63/1000</f>
        <v>23188.7673187485</v>
      </c>
      <c r="Y63" s="1" t="s">
        <v>56</v>
      </c>
      <c r="AC63" s="33" t="n">
        <f aca="false">S63/U63</f>
        <v>0.000972858685758237</v>
      </c>
      <c r="AD63" s="33" t="n">
        <f aca="false">T63/U63</f>
        <v>0.000415664885859921</v>
      </c>
    </row>
    <row r="64" s="34" customFormat="true" ht="14.25" hidden="false" customHeight="false" outlineLevel="0" collapsed="false">
      <c r="A64" s="1" t="s">
        <v>29</v>
      </c>
      <c r="B64" s="2" t="n">
        <v>44726</v>
      </c>
      <c r="C64" s="26" t="s">
        <v>30</v>
      </c>
      <c r="D64" s="3" t="n">
        <v>44727</v>
      </c>
      <c r="E64" s="1" t="s">
        <v>54</v>
      </c>
      <c r="F64" s="27" t="s">
        <v>55</v>
      </c>
      <c r="G64" s="27" t="n">
        <v>531173716</v>
      </c>
      <c r="H64" s="28" t="n">
        <v>0.333333333333333</v>
      </c>
      <c r="I64" s="5" t="s">
        <v>38</v>
      </c>
      <c r="J64" s="29" t="n">
        <v>12</v>
      </c>
      <c r="K64" s="7" t="n">
        <v>18.9</v>
      </c>
      <c r="L64" s="7" t="n">
        <v>13</v>
      </c>
      <c r="M64" s="7" t="n">
        <v>900</v>
      </c>
      <c r="N64" s="7" t="n">
        <v>7.23</v>
      </c>
      <c r="O64" s="8" t="n">
        <v>36175</v>
      </c>
      <c r="P64" s="30" t="n">
        <f aca="false">(O64*1000)/24/60/60</f>
        <v>418.69212962963</v>
      </c>
      <c r="Q64" s="29" t="s">
        <v>41</v>
      </c>
      <c r="R64" s="6" t="n">
        <v>2.5</v>
      </c>
      <c r="S64" s="9" t="n">
        <v>17382.0607393958</v>
      </c>
      <c r="T64" s="9" t="n">
        <v>29423.5022222047</v>
      </c>
      <c r="U64" s="9" t="n">
        <v>29370097.4237648</v>
      </c>
      <c r="V64" s="10" t="n">
        <f aca="false">S64/1000</f>
        <v>17.3820607393958</v>
      </c>
      <c r="W64" s="10" t="n">
        <f aca="false">T64/1000</f>
        <v>29.4235022222047</v>
      </c>
      <c r="X64" s="10" t="n">
        <f aca="false">U64/1000</f>
        <v>29370.0974237648</v>
      </c>
      <c r="Y64" s="1" t="s">
        <v>56</v>
      </c>
      <c r="AC64" s="33" t="n">
        <f aca="false">S64/U64</f>
        <v>0.000591828501233745</v>
      </c>
      <c r="AD64" s="33" t="n">
        <f aca="false">T64/U64</f>
        <v>0.00100181833916549</v>
      </c>
    </row>
    <row r="65" s="34" customFormat="true" ht="14.25" hidden="false" customHeight="false" outlineLevel="0" collapsed="false">
      <c r="A65" s="1" t="s">
        <v>29</v>
      </c>
      <c r="B65" s="2" t="n">
        <v>44732</v>
      </c>
      <c r="C65" s="26" t="s">
        <v>30</v>
      </c>
      <c r="D65" s="3" t="n">
        <v>44733</v>
      </c>
      <c r="E65" s="27" t="s">
        <v>31</v>
      </c>
      <c r="F65" s="27" t="s">
        <v>32</v>
      </c>
      <c r="G65" s="27" t="n">
        <v>531171153</v>
      </c>
      <c r="H65" s="28" t="n">
        <v>0.333333333333333</v>
      </c>
      <c r="I65" s="5" t="s">
        <v>39</v>
      </c>
      <c r="J65" s="29" t="n">
        <v>12</v>
      </c>
      <c r="K65" s="7" t="n">
        <v>18.12</v>
      </c>
      <c r="L65" s="7" t="n">
        <v>14</v>
      </c>
      <c r="M65" s="7" t="n">
        <v>860</v>
      </c>
      <c r="N65" s="7" t="n">
        <v>7.93</v>
      </c>
      <c r="O65" s="8" t="n">
        <v>55910</v>
      </c>
      <c r="P65" s="30" t="n">
        <f aca="false">(O65*1000)/24/60/60</f>
        <v>647.106481481482</v>
      </c>
      <c r="Q65" s="29" t="s">
        <v>57</v>
      </c>
      <c r="R65" s="6" t="n">
        <v>5.8</v>
      </c>
      <c r="S65" s="9" t="n">
        <v>6609.68339684784</v>
      </c>
      <c r="T65" s="9" t="n">
        <v>3464.69759101506</v>
      </c>
      <c r="U65" s="9" t="n">
        <v>2584080.56372642</v>
      </c>
      <c r="V65" s="10" t="n">
        <f aca="false">S65/1000</f>
        <v>6.60968339684784</v>
      </c>
      <c r="W65" s="10" t="n">
        <f aca="false">T65/1000</f>
        <v>3.46469759101506</v>
      </c>
      <c r="X65" s="10" t="n">
        <f aca="false">U65/1000</f>
        <v>2584.08056372642</v>
      </c>
      <c r="Y65" s="1"/>
      <c r="Z65" s="34" t="n">
        <v>464.4</v>
      </c>
      <c r="AC65" s="33" t="n">
        <f aca="false">S65/U65</f>
        <v>0.00255784726282536</v>
      </c>
      <c r="AD65" s="33" t="n">
        <f aca="false">T65/U65</f>
        <v>0.00134078543821356</v>
      </c>
    </row>
    <row r="66" s="34" customFormat="true" ht="14.25" hidden="false" customHeight="false" outlineLevel="0" collapsed="false">
      <c r="A66" s="1" t="s">
        <v>29</v>
      </c>
      <c r="B66" s="2" t="n">
        <v>44732</v>
      </c>
      <c r="C66" s="26" t="s">
        <v>30</v>
      </c>
      <c r="D66" s="3" t="n">
        <v>44733</v>
      </c>
      <c r="E66" s="27" t="s">
        <v>35</v>
      </c>
      <c r="F66" s="27" t="s">
        <v>36</v>
      </c>
      <c r="G66" s="27" t="n">
        <v>531172123</v>
      </c>
      <c r="H66" s="28" t="n">
        <v>0.333333333333333</v>
      </c>
      <c r="I66" s="5" t="s">
        <v>39</v>
      </c>
      <c r="J66" s="29" t="n">
        <v>12</v>
      </c>
      <c r="K66" s="7" t="n">
        <v>17.88</v>
      </c>
      <c r="L66" s="7" t="n">
        <v>14</v>
      </c>
      <c r="M66" s="7" t="n">
        <v>460</v>
      </c>
      <c r="N66" s="7" t="n">
        <v>7.31</v>
      </c>
      <c r="O66" s="8" t="n">
        <v>75317</v>
      </c>
      <c r="P66" s="30" t="n">
        <f aca="false">(O66*1000)/24/60/60</f>
        <v>871.724537037037</v>
      </c>
      <c r="Q66" s="29" t="s">
        <v>57</v>
      </c>
      <c r="R66" s="6" t="n">
        <v>1.8</v>
      </c>
      <c r="S66" s="9" t="n">
        <v>6608.68339684784</v>
      </c>
      <c r="T66" s="9" t="n">
        <v>3463.69759101506</v>
      </c>
      <c r="U66" s="9" t="n">
        <v>2991144.07502635</v>
      </c>
      <c r="V66" s="10" t="n">
        <f aca="false">S66/1000</f>
        <v>6.60868339684784</v>
      </c>
      <c r="W66" s="10" t="n">
        <f aca="false">T66/1000</f>
        <v>3.46369759101506</v>
      </c>
      <c r="X66" s="10" t="n">
        <f aca="false">U66/1000</f>
        <v>2991.14407502635</v>
      </c>
      <c r="Y66" s="1"/>
      <c r="Z66" s="34" t="n">
        <v>464.4</v>
      </c>
      <c r="AC66" s="33" t="n">
        <f aca="false">S66/U66</f>
        <v>0.0022094166081885</v>
      </c>
      <c r="AD66" s="33" t="n">
        <f aca="false">T66/U66</f>
        <v>0.00115798420408236</v>
      </c>
    </row>
    <row r="67" s="34" customFormat="true" ht="14.25" hidden="false" customHeight="false" outlineLevel="0" collapsed="false">
      <c r="A67" s="1" t="s">
        <v>29</v>
      </c>
      <c r="B67" s="2" t="n">
        <v>44734</v>
      </c>
      <c r="C67" s="26" t="s">
        <v>30</v>
      </c>
      <c r="D67" s="3" t="n">
        <v>44735</v>
      </c>
      <c r="E67" s="1" t="s">
        <v>54</v>
      </c>
      <c r="F67" s="27" t="s">
        <v>55</v>
      </c>
      <c r="G67" s="27" t="n">
        <v>531173261</v>
      </c>
      <c r="H67" s="28" t="n">
        <v>0.333333333333333</v>
      </c>
      <c r="I67" s="5" t="s">
        <v>39</v>
      </c>
      <c r="J67" s="29" t="n">
        <v>12</v>
      </c>
      <c r="K67" s="7" t="n">
        <v>19.3</v>
      </c>
      <c r="L67" s="7" t="n">
        <v>22</v>
      </c>
      <c r="M67" s="7" t="n">
        <v>830</v>
      </c>
      <c r="N67" s="7" t="n">
        <v>7.33</v>
      </c>
      <c r="O67" s="8" t="n">
        <v>38777</v>
      </c>
      <c r="P67" s="30" t="n">
        <f aca="false">(O67*1000)/24/60/60</f>
        <v>448.80787037037</v>
      </c>
      <c r="Q67" s="29" t="s">
        <v>34</v>
      </c>
      <c r="R67" s="6" t="n">
        <v>7.8</v>
      </c>
      <c r="S67" s="9" t="n">
        <v>61930.2166263995</v>
      </c>
      <c r="T67" s="9" t="n">
        <v>23780.0662065216</v>
      </c>
      <c r="U67" s="9" t="n">
        <v>34510628.562093</v>
      </c>
      <c r="V67" s="10" t="n">
        <f aca="false">S67/1000</f>
        <v>61.9302166263995</v>
      </c>
      <c r="W67" s="10" t="n">
        <f aca="false">T67/1000</f>
        <v>23.7800662065216</v>
      </c>
      <c r="X67" s="10" t="n">
        <f aca="false">U67/1000</f>
        <v>34510.628562093</v>
      </c>
      <c r="Y67" s="1" t="s">
        <v>56</v>
      </c>
      <c r="Z67" s="34" t="n">
        <v>516.4</v>
      </c>
      <c r="AC67" s="33" t="n">
        <f aca="false">S67/U67</f>
        <v>0.00179452589555047</v>
      </c>
      <c r="AD67" s="33" t="n">
        <f aca="false">T67/U67</f>
        <v>0.000689064998156597</v>
      </c>
    </row>
    <row r="68" s="34" customFormat="true" ht="14.25" hidden="false" customHeight="false" outlineLevel="0" collapsed="false">
      <c r="A68" s="1" t="s">
        <v>29</v>
      </c>
      <c r="B68" s="2" t="n">
        <v>44739</v>
      </c>
      <c r="C68" s="26" t="s">
        <v>30</v>
      </c>
      <c r="D68" s="3" t="n">
        <v>44740</v>
      </c>
      <c r="E68" s="1" t="s">
        <v>54</v>
      </c>
      <c r="F68" s="27" t="s">
        <v>55</v>
      </c>
      <c r="G68" s="27" t="n">
        <v>531173812</v>
      </c>
      <c r="H68" s="28" t="n">
        <v>0.333333333333333</v>
      </c>
      <c r="I68" s="5" t="s">
        <v>33</v>
      </c>
      <c r="J68" s="29" t="n">
        <v>12</v>
      </c>
      <c r="K68" s="7" t="n">
        <v>19.74</v>
      </c>
      <c r="L68" s="7" t="n">
        <v>16</v>
      </c>
      <c r="M68" s="7" t="n">
        <v>670</v>
      </c>
      <c r="N68" s="7" t="n">
        <v>6.04</v>
      </c>
      <c r="O68" s="8" t="n">
        <v>36483</v>
      </c>
      <c r="P68" s="30" t="n">
        <f aca="false">(O68*1000)/24/60/60</f>
        <v>422.256944444445</v>
      </c>
      <c r="Q68" s="29" t="s">
        <v>40</v>
      </c>
      <c r="R68" s="6" t="n">
        <v>10.7</v>
      </c>
      <c r="S68" s="9" t="n">
        <v>63377.6023061514</v>
      </c>
      <c r="T68" s="9" t="n">
        <v>19891.1766068194</v>
      </c>
      <c r="U68" s="9" t="n">
        <v>21113117.0326181</v>
      </c>
      <c r="V68" s="10" t="n">
        <f aca="false">S68/1000</f>
        <v>63.3776023061514</v>
      </c>
      <c r="W68" s="10" t="n">
        <f aca="false">T68/1000</f>
        <v>19.8911766068194</v>
      </c>
      <c r="X68" s="10" t="n">
        <f aca="false">U68/1000</f>
        <v>21113.1170326181</v>
      </c>
      <c r="Y68" s="1" t="s">
        <v>56</v>
      </c>
      <c r="AC68" s="33" t="n">
        <f aca="false">S68/U68</f>
        <v>0.00300181172719491</v>
      </c>
      <c r="AD68" s="33" t="n">
        <f aca="false">T68/U68</f>
        <v>0.000942124110622279</v>
      </c>
    </row>
    <row r="69" s="34" customFormat="true" ht="14.25" hidden="false" customHeight="false" outlineLevel="0" collapsed="false">
      <c r="A69" s="1" t="s">
        <v>29</v>
      </c>
      <c r="B69" s="2" t="n">
        <v>44741</v>
      </c>
      <c r="C69" s="26" t="s">
        <v>30</v>
      </c>
      <c r="D69" s="3" t="n">
        <v>44742</v>
      </c>
      <c r="E69" s="1" t="s">
        <v>54</v>
      </c>
      <c r="F69" s="27" t="s">
        <v>55</v>
      </c>
      <c r="G69" s="27" t="n">
        <v>531173903</v>
      </c>
      <c r="H69" s="28" t="n">
        <v>0.333333333333333</v>
      </c>
      <c r="I69" s="5" t="s">
        <v>33</v>
      </c>
      <c r="J69" s="29" t="n">
        <v>12</v>
      </c>
      <c r="K69" s="7" t="n">
        <v>19.68</v>
      </c>
      <c r="L69" s="7" t="n">
        <v>21</v>
      </c>
      <c r="M69" s="7" t="n">
        <v>840</v>
      </c>
      <c r="N69" s="7" t="n">
        <v>7.41</v>
      </c>
      <c r="O69" s="8" t="n">
        <v>35638</v>
      </c>
      <c r="P69" s="30" t="n">
        <f aca="false">(O69*1000)/24/60/60</f>
        <v>412.476851851852</v>
      </c>
      <c r="Q69" s="29" t="s">
        <v>34</v>
      </c>
      <c r="R69" s="6" t="n">
        <v>9.5</v>
      </c>
      <c r="S69" s="9" t="n">
        <v>78541.8791778781</v>
      </c>
      <c r="T69" s="9" t="n">
        <v>35295.8452179016</v>
      </c>
      <c r="U69" s="9" t="n">
        <v>37903399.1050762</v>
      </c>
      <c r="V69" s="10" t="n">
        <f aca="false">S69/1000</f>
        <v>78.5418791778781</v>
      </c>
      <c r="W69" s="10" t="n">
        <f aca="false">T69/1000</f>
        <v>35.2958452179016</v>
      </c>
      <c r="X69" s="10" t="n">
        <f aca="false">U69/1000</f>
        <v>37903.3991050762</v>
      </c>
      <c r="Y69" s="1" t="s">
        <v>56</v>
      </c>
      <c r="AC69" s="33" t="n">
        <f aca="false">S69/U69</f>
        <v>0.00207215925305653</v>
      </c>
      <c r="AD69" s="33" t="n">
        <f aca="false">T69/U69</f>
        <v>0.000931205275813233</v>
      </c>
    </row>
    <row r="70" s="34" customFormat="true" ht="14.25" hidden="false" customHeight="false" outlineLevel="0" collapsed="false">
      <c r="A70" s="1" t="s">
        <v>29</v>
      </c>
      <c r="B70" s="2" t="n">
        <v>44746</v>
      </c>
      <c r="C70" s="26" t="s">
        <v>30</v>
      </c>
      <c r="D70" s="3" t="n">
        <v>44747</v>
      </c>
      <c r="E70" s="1" t="s">
        <v>54</v>
      </c>
      <c r="F70" s="27" t="s">
        <v>55</v>
      </c>
      <c r="G70" s="27" t="n">
        <v>531173961</v>
      </c>
      <c r="H70" s="28" t="n">
        <v>0.333333333333333</v>
      </c>
      <c r="I70" s="5" t="s">
        <v>33</v>
      </c>
      <c r="J70" s="29" t="n">
        <v>12</v>
      </c>
      <c r="K70" s="7" t="n">
        <v>19.4</v>
      </c>
      <c r="L70" s="7" t="n">
        <v>16</v>
      </c>
      <c r="M70" s="7" t="n">
        <v>70</v>
      </c>
      <c r="N70" s="7" t="n">
        <v>7.22</v>
      </c>
      <c r="O70" s="8" t="n">
        <v>32868</v>
      </c>
      <c r="P70" s="30" t="n">
        <f aca="false">(O70*1000)/24/60/60</f>
        <v>380.416666666667</v>
      </c>
      <c r="Q70" s="29" t="s">
        <v>34</v>
      </c>
      <c r="R70" s="6" t="n">
        <v>15.5</v>
      </c>
      <c r="S70" s="9" t="n">
        <v>74011.9106253839</v>
      </c>
      <c r="T70" s="9" t="n">
        <v>42487.283451107</v>
      </c>
      <c r="U70" s="9" t="n">
        <v>38911792.677958</v>
      </c>
      <c r="V70" s="10" t="n">
        <f aca="false">S70/1000</f>
        <v>74.0119106253839</v>
      </c>
      <c r="W70" s="10" t="n">
        <f aca="false">T70/1000</f>
        <v>42.487283451107</v>
      </c>
      <c r="X70" s="10" t="n">
        <f aca="false">U70/1000</f>
        <v>38911.792677958</v>
      </c>
      <c r="Y70" s="1" t="s">
        <v>56</v>
      </c>
      <c r="Z70" s="34" t="n">
        <v>664.3</v>
      </c>
      <c r="AC70" s="33" t="n">
        <f aca="false">S70/U70</f>
        <v>0.00190204319903536</v>
      </c>
      <c r="AD70" s="33" t="n">
        <f aca="false">T70/U70</f>
        <v>0.00109188707399683</v>
      </c>
    </row>
    <row r="71" s="34" customFormat="true" ht="14.25" hidden="false" customHeight="false" outlineLevel="0" collapsed="false">
      <c r="A71" s="1" t="s">
        <v>29</v>
      </c>
      <c r="B71" s="2" t="n">
        <v>44748</v>
      </c>
      <c r="C71" s="26" t="s">
        <v>30</v>
      </c>
      <c r="D71" s="3" t="n">
        <v>44749</v>
      </c>
      <c r="E71" s="1" t="s">
        <v>54</v>
      </c>
      <c r="F71" s="27" t="s">
        <v>55</v>
      </c>
      <c r="G71" s="27" t="n">
        <v>531173143</v>
      </c>
      <c r="H71" s="28" t="n">
        <v>0.333333333333333</v>
      </c>
      <c r="I71" s="5" t="s">
        <v>33</v>
      </c>
      <c r="J71" s="29" t="n">
        <v>12</v>
      </c>
      <c r="K71" s="7" t="n">
        <v>19.9</v>
      </c>
      <c r="L71" s="7" t="n">
        <v>18</v>
      </c>
      <c r="M71" s="7" t="n">
        <v>93</v>
      </c>
      <c r="N71" s="7" t="n">
        <v>7.07</v>
      </c>
      <c r="O71" s="8" t="n">
        <v>32638</v>
      </c>
      <c r="P71" s="30" t="n">
        <f aca="false">(O71*1000)/24/60/60</f>
        <v>377.75462962963</v>
      </c>
      <c r="Q71" s="29" t="s">
        <v>34</v>
      </c>
      <c r="R71" s="6" t="n">
        <v>5.9</v>
      </c>
      <c r="S71" s="9" t="n">
        <v>75741.6604212955</v>
      </c>
      <c r="T71" s="9" t="n">
        <v>36154.5830526079</v>
      </c>
      <c r="U71" s="9" t="n">
        <v>25950635.0931994</v>
      </c>
      <c r="V71" s="10" t="n">
        <f aca="false">S71/1000</f>
        <v>75.7416604212955</v>
      </c>
      <c r="W71" s="10" t="n">
        <f aca="false">T71/1000</f>
        <v>36.1545830526079</v>
      </c>
      <c r="X71" s="10" t="n">
        <f aca="false">U71/1000</f>
        <v>25950.6350931994</v>
      </c>
      <c r="Y71" s="1" t="s">
        <v>56</v>
      </c>
      <c r="Z71" s="36" t="n">
        <v>834</v>
      </c>
      <c r="AC71" s="33" t="n">
        <f aca="false">S71/U71</f>
        <v>0.00291868234242731</v>
      </c>
      <c r="AD71" s="33" t="n">
        <f aca="false">T71/U71</f>
        <v>0.00139320609776069</v>
      </c>
    </row>
    <row r="72" s="34" customFormat="true" ht="14.25" hidden="false" customHeight="false" outlineLevel="0" collapsed="false">
      <c r="A72" s="1" t="s">
        <v>29</v>
      </c>
      <c r="B72" s="2" t="n">
        <v>44753</v>
      </c>
      <c r="C72" s="26" t="s">
        <v>30</v>
      </c>
      <c r="D72" s="3" t="n">
        <v>44754</v>
      </c>
      <c r="E72" s="1" t="s">
        <v>54</v>
      </c>
      <c r="F72" s="27" t="s">
        <v>55</v>
      </c>
      <c r="G72" s="27" t="n">
        <v>531173789</v>
      </c>
      <c r="H72" s="28" t="n">
        <v>0.333333333333333</v>
      </c>
      <c r="I72" s="5" t="s">
        <v>33</v>
      </c>
      <c r="J72" s="29" t="n">
        <v>12</v>
      </c>
      <c r="K72" s="7" t="n">
        <v>20.32</v>
      </c>
      <c r="L72" s="7" t="n">
        <v>16</v>
      </c>
      <c r="M72" s="7" t="n">
        <v>940</v>
      </c>
      <c r="N72" s="7" t="n">
        <v>6.49</v>
      </c>
      <c r="O72" s="8" t="n">
        <v>32784</v>
      </c>
      <c r="P72" s="30" t="n">
        <f aca="false">(O72*1000)/24/60/60</f>
        <v>379.444444444444</v>
      </c>
      <c r="Q72" s="29" t="s">
        <v>34</v>
      </c>
      <c r="R72" s="6" t="n">
        <v>8.7</v>
      </c>
      <c r="S72" s="9" t="n">
        <v>79065.5083747553</v>
      </c>
      <c r="T72" s="9" t="n">
        <v>7333.69759101506</v>
      </c>
      <c r="U72" s="9" t="n">
        <v>89959640.8174432</v>
      </c>
      <c r="V72" s="10" t="n">
        <f aca="false">S72/1000</f>
        <v>79.0655083747553</v>
      </c>
      <c r="W72" s="10" t="n">
        <f aca="false">T72/1000</f>
        <v>7.33369759101506</v>
      </c>
      <c r="X72" s="10" t="n">
        <f aca="false">U72/1000</f>
        <v>89959.6408174432</v>
      </c>
      <c r="Y72" s="1" t="s">
        <v>56</v>
      </c>
      <c r="Z72" s="34" t="n">
        <v>741.4</v>
      </c>
      <c r="AC72" s="33" t="n">
        <f aca="false">S72/U72</f>
        <v>0.000878899778348431</v>
      </c>
      <c r="AD72" s="33" t="n">
        <f aca="false">T72/U72</f>
        <v>8.15220861752602E-005</v>
      </c>
    </row>
    <row r="73" s="34" customFormat="true" ht="14.25" hidden="false" customHeight="false" outlineLevel="0" collapsed="false">
      <c r="A73" s="1" t="s">
        <v>29</v>
      </c>
      <c r="B73" s="2" t="n">
        <v>44755</v>
      </c>
      <c r="C73" s="26" t="s">
        <v>30</v>
      </c>
      <c r="D73" s="3" t="n">
        <v>44756</v>
      </c>
      <c r="E73" s="1" t="s">
        <v>54</v>
      </c>
      <c r="F73" s="27" t="s">
        <v>55</v>
      </c>
      <c r="G73" s="27" t="n">
        <v>531173873</v>
      </c>
      <c r="H73" s="28" t="n">
        <v>0.333333333333333</v>
      </c>
      <c r="I73" s="5" t="s">
        <v>33</v>
      </c>
      <c r="J73" s="29" t="n">
        <v>12</v>
      </c>
      <c r="K73" s="7" t="n">
        <v>20.57</v>
      </c>
      <c r="L73" s="7" t="n">
        <v>18</v>
      </c>
      <c r="M73" s="7" t="n">
        <v>860</v>
      </c>
      <c r="N73" s="7" t="n">
        <v>6.61</v>
      </c>
      <c r="O73" s="8" t="n">
        <v>33445</v>
      </c>
      <c r="P73" s="30" t="n">
        <f aca="false">(O73*1000)/24/60/60</f>
        <v>387.094907407407</v>
      </c>
      <c r="Q73" s="29" t="s">
        <v>34</v>
      </c>
      <c r="R73" s="6" t="n">
        <v>8.3</v>
      </c>
      <c r="S73" s="9" t="n">
        <v>124678.985225271</v>
      </c>
      <c r="T73" s="9" t="n">
        <v>7333</v>
      </c>
      <c r="U73" s="9" t="n">
        <v>184352543.853769</v>
      </c>
      <c r="V73" s="10" t="n">
        <f aca="false">S73/1000</f>
        <v>124.678985225271</v>
      </c>
      <c r="W73" s="10" t="n">
        <f aca="false">T73/1000</f>
        <v>7.333</v>
      </c>
      <c r="X73" s="10" t="n">
        <f aca="false">U73/1000</f>
        <v>184352.543853769</v>
      </c>
      <c r="Y73" s="1" t="s">
        <v>56</v>
      </c>
      <c r="Z73" s="34" t="n">
        <v>719</v>
      </c>
      <c r="AC73" s="33" t="n">
        <f aca="false">S73/U73</f>
        <v>0.000676307376176856</v>
      </c>
      <c r="AD73" s="33" t="n">
        <f aca="false">T73/U73</f>
        <v>3.97770480770618E-005</v>
      </c>
    </row>
    <row r="74" s="34" customFormat="true" ht="14.25" hidden="false" customHeight="false" outlineLevel="0" collapsed="false">
      <c r="A74" s="1" t="s">
        <v>29</v>
      </c>
      <c r="B74" s="2" t="n">
        <v>44760</v>
      </c>
      <c r="C74" s="26" t="s">
        <v>30</v>
      </c>
      <c r="D74" s="3" t="n">
        <v>44761</v>
      </c>
      <c r="E74" s="1" t="s">
        <v>54</v>
      </c>
      <c r="F74" s="27" t="s">
        <v>55</v>
      </c>
      <c r="G74" s="27" t="n">
        <v>531173455</v>
      </c>
      <c r="H74" s="28" t="n">
        <v>0.333333333333333</v>
      </c>
      <c r="I74" s="5" t="s">
        <v>33</v>
      </c>
      <c r="J74" s="29" t="n">
        <v>12</v>
      </c>
      <c r="K74" s="7" t="n">
        <v>20.9</v>
      </c>
      <c r="L74" s="7" t="n">
        <v>17</v>
      </c>
      <c r="M74" s="7" t="n">
        <v>1130</v>
      </c>
      <c r="N74" s="7" t="n">
        <v>7.8</v>
      </c>
      <c r="O74" s="8" t="n">
        <v>16381</v>
      </c>
      <c r="P74" s="30" t="n">
        <f aca="false">(O74*1000)/24/60/60</f>
        <v>189.594907407407</v>
      </c>
      <c r="Q74" s="29" t="s">
        <v>34</v>
      </c>
      <c r="R74" s="6" t="n">
        <v>3</v>
      </c>
      <c r="S74" s="9" t="n">
        <v>47504.7656333205</v>
      </c>
      <c r="T74" s="9" t="n">
        <v>3463.69759101506</v>
      </c>
      <c r="U74" s="9" t="n">
        <v>19848935.3723376</v>
      </c>
      <c r="V74" s="10" t="n">
        <f aca="false">S74/1000</f>
        <v>47.5047656333205</v>
      </c>
      <c r="W74" s="10" t="n">
        <f aca="false">T74/1000</f>
        <v>3.46369759101506</v>
      </c>
      <c r="X74" s="10" t="n">
        <f aca="false">U74/1000</f>
        <v>19848.9353723376</v>
      </c>
      <c r="Y74" s="1" t="s">
        <v>56</v>
      </c>
      <c r="AC74" s="33" t="n">
        <f aca="false">S74/U74</f>
        <v>0.00239331554777116</v>
      </c>
      <c r="AD74" s="33" t="n">
        <f aca="false">T74/U74</f>
        <v>0.00017450294063843</v>
      </c>
    </row>
    <row r="75" s="34" customFormat="true" ht="14.25" hidden="false" customHeight="false" outlineLevel="0" collapsed="false">
      <c r="A75" s="1" t="s">
        <v>29</v>
      </c>
      <c r="B75" s="25" t="n">
        <v>44762</v>
      </c>
      <c r="C75" s="26" t="s">
        <v>30</v>
      </c>
      <c r="D75" s="3" t="n">
        <v>44763</v>
      </c>
      <c r="E75" s="1" t="s">
        <v>54</v>
      </c>
      <c r="F75" s="27" t="s">
        <v>55</v>
      </c>
      <c r="G75" s="27" t="n">
        <v>531173290</v>
      </c>
      <c r="H75" s="28" t="n">
        <v>0.333333333333333</v>
      </c>
      <c r="I75" s="5" t="s">
        <v>33</v>
      </c>
      <c r="J75" s="29" t="n">
        <v>12</v>
      </c>
      <c r="K75" s="7" t="n">
        <v>19.85</v>
      </c>
      <c r="L75" s="7" t="n">
        <v>18</v>
      </c>
      <c r="M75" s="7" t="n">
        <v>100</v>
      </c>
      <c r="N75" s="7" t="n">
        <v>6.87</v>
      </c>
      <c r="O75" s="8" t="n">
        <v>64163</v>
      </c>
      <c r="P75" s="30" t="n">
        <f aca="false">(O75*1000)/24/60/60</f>
        <v>742.627314814815</v>
      </c>
      <c r="Q75" s="29" t="s">
        <v>34</v>
      </c>
      <c r="R75" s="6" t="n">
        <v>9</v>
      </c>
      <c r="S75" s="9" t="n">
        <v>74988.5435148341</v>
      </c>
      <c r="T75" s="9" t="n">
        <v>56828.1695968928</v>
      </c>
      <c r="U75" s="9" t="n">
        <v>187308395.397102</v>
      </c>
      <c r="V75" s="10" t="n">
        <f aca="false">S75/1000</f>
        <v>74.9885435148341</v>
      </c>
      <c r="W75" s="35" t="n">
        <f aca="false">T75/1000</f>
        <v>56.8281695968928</v>
      </c>
      <c r="X75" s="10" t="n">
        <f aca="false">U75/1000</f>
        <v>187308.395397102</v>
      </c>
      <c r="Y75" s="1" t="s">
        <v>58</v>
      </c>
      <c r="Z75" s="32"/>
      <c r="AC75" s="33" t="n">
        <f aca="false">S75/U75</f>
        <v>0.000400348010861206</v>
      </c>
      <c r="AD75" s="33" t="n">
        <f aca="false">T75/U75</f>
        <v>0.000303393606444679</v>
      </c>
    </row>
    <row r="76" s="32" customFormat="true" ht="14.25" hidden="false" customHeight="false" outlineLevel="0" collapsed="false">
      <c r="A76" s="1" t="s">
        <v>29</v>
      </c>
      <c r="B76" s="25" t="n">
        <v>44767</v>
      </c>
      <c r="C76" s="26" t="s">
        <v>30</v>
      </c>
      <c r="D76" s="3" t="n">
        <v>44768</v>
      </c>
      <c r="E76" s="1" t="s">
        <v>54</v>
      </c>
      <c r="F76" s="27" t="s">
        <v>55</v>
      </c>
      <c r="G76" s="27" t="n">
        <v>531173560</v>
      </c>
      <c r="H76" s="28" t="n">
        <v>0.333333333333333</v>
      </c>
      <c r="I76" s="5" t="s">
        <v>33</v>
      </c>
      <c r="J76" s="29" t="n">
        <v>12</v>
      </c>
      <c r="K76" s="7" t="n">
        <v>20.59</v>
      </c>
      <c r="L76" s="7" t="n">
        <v>17</v>
      </c>
      <c r="M76" s="7" t="n">
        <v>670</v>
      </c>
      <c r="N76" s="7" t="n">
        <v>5.86</v>
      </c>
      <c r="O76" s="8" t="n">
        <v>15495</v>
      </c>
      <c r="P76" s="30" t="n">
        <f aca="false">(O76*1000)/24/60/60</f>
        <v>179.340277777778</v>
      </c>
      <c r="Q76" s="29" t="s">
        <v>34</v>
      </c>
      <c r="R76" s="6" t="n">
        <v>5.3</v>
      </c>
      <c r="S76" s="9" t="n">
        <v>53639.5959097083</v>
      </c>
      <c r="T76" s="9" t="n">
        <v>7333</v>
      </c>
      <c r="U76" s="9" t="n">
        <v>63407702.8194399</v>
      </c>
      <c r="V76" s="10" t="n">
        <f aca="false">S76/1000</f>
        <v>53.6395959097083</v>
      </c>
      <c r="W76" s="10" t="n">
        <f aca="false">T76/1000</f>
        <v>7.333</v>
      </c>
      <c r="X76" s="10" t="n">
        <f aca="false">U76/1000</f>
        <v>63407.7028194399</v>
      </c>
      <c r="Y76" s="1" t="s">
        <v>56</v>
      </c>
      <c r="Z76" s="34"/>
      <c r="AC76" s="33" t="n">
        <f aca="false">S76/U76</f>
        <v>0.000845947629776979</v>
      </c>
      <c r="AD76" s="33" t="n">
        <f aca="false">T76/U76</f>
        <v>0.000115648409797805</v>
      </c>
    </row>
    <row r="77" s="34" customFormat="true" ht="14.25" hidden="false" customHeight="false" outlineLevel="0" collapsed="false">
      <c r="A77" s="1" t="s">
        <v>29</v>
      </c>
      <c r="B77" s="25" t="n">
        <v>44769</v>
      </c>
      <c r="C77" s="26" t="s">
        <v>30</v>
      </c>
      <c r="D77" s="3" t="n">
        <v>44770</v>
      </c>
      <c r="E77" s="27" t="s">
        <v>31</v>
      </c>
      <c r="F77" s="27" t="s">
        <v>32</v>
      </c>
      <c r="G77" s="27" t="n">
        <v>531171278</v>
      </c>
      <c r="H77" s="28" t="n">
        <v>0.333333333333333</v>
      </c>
      <c r="I77" s="5"/>
      <c r="J77" s="29" t="n">
        <v>12</v>
      </c>
      <c r="K77" s="7" t="n">
        <v>20.84</v>
      </c>
      <c r="L77" s="7" t="n">
        <v>12</v>
      </c>
      <c r="M77" s="7" t="n">
        <v>1480</v>
      </c>
      <c r="N77" s="7" t="n">
        <v>7.96</v>
      </c>
      <c r="O77" s="8" t="n">
        <v>15680</v>
      </c>
      <c r="P77" s="30" t="n">
        <f aca="false">(O77*1000)/24/60/60</f>
        <v>181.481481481481</v>
      </c>
      <c r="Q77" s="29" t="s">
        <v>34</v>
      </c>
      <c r="R77" s="6" t="n">
        <v>16.8</v>
      </c>
      <c r="S77" s="9" t="n">
        <v>64576.3070117594</v>
      </c>
      <c r="T77" s="9" t="n">
        <v>3464.69759101506</v>
      </c>
      <c r="U77" s="9" t="n">
        <v>137740310.312679</v>
      </c>
      <c r="V77" s="10" t="n">
        <f aca="false">S77/1000</f>
        <v>64.5763070117594</v>
      </c>
      <c r="W77" s="10" t="n">
        <v>3.46469759101506</v>
      </c>
      <c r="X77" s="10" t="n">
        <f aca="false">U77/1000</f>
        <v>137740.310312679</v>
      </c>
      <c r="Y77" s="1"/>
      <c r="AC77" s="33" t="n">
        <f aca="false">S77/U77</f>
        <v>0.000468826495781571</v>
      </c>
      <c r="AD77" s="33" t="n">
        <f aca="false">T77/U77</f>
        <v>2.51538390116153E-005</v>
      </c>
    </row>
    <row r="78" s="34" customFormat="true" ht="14.25" hidden="false" customHeight="false" outlineLevel="0" collapsed="false">
      <c r="A78" s="1" t="s">
        <v>29</v>
      </c>
      <c r="B78" s="25" t="n">
        <v>44769</v>
      </c>
      <c r="C78" s="26" t="s">
        <v>30</v>
      </c>
      <c r="D78" s="3" t="n">
        <v>44770</v>
      </c>
      <c r="E78" s="27" t="s">
        <v>35</v>
      </c>
      <c r="F78" s="27" t="s">
        <v>36</v>
      </c>
      <c r="G78" s="27" t="n">
        <v>531172755</v>
      </c>
      <c r="H78" s="28" t="n">
        <v>0.333333333333333</v>
      </c>
      <c r="I78" s="5"/>
      <c r="J78" s="29" t="n">
        <v>12</v>
      </c>
      <c r="K78" s="7" t="n">
        <v>20.46</v>
      </c>
      <c r="L78" s="7" t="n">
        <v>12</v>
      </c>
      <c r="M78" s="7" t="n">
        <v>840</v>
      </c>
      <c r="N78" s="7" t="n">
        <v>6.73</v>
      </c>
      <c r="O78" s="8" t="n">
        <v>15200</v>
      </c>
      <c r="P78" s="30" t="n">
        <f aca="false">(O78*1000)/24/60/60</f>
        <v>175.925925925926</v>
      </c>
      <c r="Q78" s="29" t="s">
        <v>34</v>
      </c>
      <c r="R78" s="6" t="n">
        <v>8.7</v>
      </c>
      <c r="S78" s="9" t="n">
        <v>55293.308493838</v>
      </c>
      <c r="T78" s="9" t="n">
        <v>7333</v>
      </c>
      <c r="U78" s="9" t="n">
        <v>176268230.940202</v>
      </c>
      <c r="V78" s="10" t="n">
        <f aca="false">S78/1000</f>
        <v>55.293308493838</v>
      </c>
      <c r="W78" s="10" t="n">
        <f aca="false">T78/1000</f>
        <v>7.333</v>
      </c>
      <c r="X78" s="10" t="n">
        <f aca="false">U78/1000</f>
        <v>176268.230940202</v>
      </c>
      <c r="Y78" s="1"/>
      <c r="AC78" s="33" t="n">
        <f aca="false">S78/U78</f>
        <v>0.000313688451962714</v>
      </c>
      <c r="AD78" s="33" t="n">
        <f aca="false">T78/U78</f>
        <v>4.1601370598016E-005</v>
      </c>
    </row>
    <row r="79" s="34" customFormat="true" ht="14.25" hidden="false" customHeight="false" outlineLevel="0" collapsed="false">
      <c r="A79" s="1" t="s">
        <v>29</v>
      </c>
      <c r="B79" s="25" t="n">
        <v>44774</v>
      </c>
      <c r="C79" s="26" t="s">
        <v>30</v>
      </c>
      <c r="D79" s="3" t="n">
        <v>44775</v>
      </c>
      <c r="E79" s="27" t="s">
        <v>31</v>
      </c>
      <c r="F79" s="27" t="s">
        <v>32</v>
      </c>
      <c r="G79" s="27" t="n">
        <v>531171089</v>
      </c>
      <c r="H79" s="28" t="n">
        <v>0.333333333333333</v>
      </c>
      <c r="I79" s="5"/>
      <c r="J79" s="29" t="n">
        <v>12</v>
      </c>
      <c r="K79" s="7" t="n">
        <v>21.35</v>
      </c>
      <c r="L79" s="7" t="n">
        <v>15</v>
      </c>
      <c r="M79" s="7" t="n">
        <v>1480</v>
      </c>
      <c r="N79" s="7" t="n">
        <v>7.94</v>
      </c>
      <c r="O79" s="8" t="n">
        <v>17789</v>
      </c>
      <c r="P79" s="30" t="n">
        <f aca="false">(O79*1000)/24/60/60</f>
        <v>205.891203703704</v>
      </c>
      <c r="Q79" s="29" t="s">
        <v>34</v>
      </c>
      <c r="R79" s="6" t="n">
        <v>4.5</v>
      </c>
      <c r="S79" s="9" t="n">
        <v>65674.89092935</v>
      </c>
      <c r="T79" s="9" t="n">
        <v>3464.69759101506</v>
      </c>
      <c r="U79" s="9" t="n">
        <v>72213729.9034372</v>
      </c>
      <c r="V79" s="10" t="n">
        <f aca="false">S79/1000</f>
        <v>65.67489092935</v>
      </c>
      <c r="W79" s="10" t="n">
        <v>3.46469759101506</v>
      </c>
      <c r="X79" s="10" t="n">
        <f aca="false">U79/1000</f>
        <v>72213.7299034372</v>
      </c>
      <c r="Y79" s="1"/>
      <c r="AC79" s="33" t="n">
        <f aca="false">S79/U79</f>
        <v>0.000909451582367636</v>
      </c>
      <c r="AD79" s="33" t="n">
        <f aca="false">T79/U79</f>
        <v>4.79783774588017E-005</v>
      </c>
    </row>
    <row r="80" s="34" customFormat="true" ht="14.25" hidden="false" customHeight="false" outlineLevel="0" collapsed="false">
      <c r="A80" s="1" t="s">
        <v>29</v>
      </c>
      <c r="B80" s="25" t="n">
        <v>44774</v>
      </c>
      <c r="C80" s="26" t="s">
        <v>30</v>
      </c>
      <c r="D80" s="3" t="n">
        <v>44775</v>
      </c>
      <c r="E80" s="27" t="s">
        <v>35</v>
      </c>
      <c r="F80" s="27" t="s">
        <v>36</v>
      </c>
      <c r="G80" s="27" t="n">
        <v>531172504</v>
      </c>
      <c r="H80" s="28" t="n">
        <v>0.333333333333333</v>
      </c>
      <c r="I80" s="5"/>
      <c r="J80" s="29" t="n">
        <v>12</v>
      </c>
      <c r="K80" s="7" t="n">
        <v>20.94</v>
      </c>
      <c r="L80" s="7" t="n">
        <v>15</v>
      </c>
      <c r="M80" s="7" t="n">
        <v>710</v>
      </c>
      <c r="N80" s="7" t="n">
        <v>6.74</v>
      </c>
      <c r="O80" s="8" t="n">
        <v>17543</v>
      </c>
      <c r="P80" s="30" t="n">
        <f aca="false">(O80*1000)/24/60/60</f>
        <v>203.043981481481</v>
      </c>
      <c r="Q80" s="29" t="s">
        <v>34</v>
      </c>
      <c r="R80" s="6" t="n">
        <v>4.2</v>
      </c>
      <c r="S80" s="9" t="n">
        <v>10097.0877347984</v>
      </c>
      <c r="T80" s="9" t="n">
        <v>7333</v>
      </c>
      <c r="U80" s="9" t="n">
        <v>42351248.690952</v>
      </c>
      <c r="V80" s="10" t="n">
        <f aca="false">S80/1000</f>
        <v>10.0970877347984</v>
      </c>
      <c r="W80" s="10" t="n">
        <f aca="false">T80/1000</f>
        <v>7.333</v>
      </c>
      <c r="X80" s="10" t="n">
        <f aca="false">U80/1000</f>
        <v>42351.248690952</v>
      </c>
      <c r="Y80" s="1"/>
      <c r="AC80" s="33" t="n">
        <f aca="false">S80/U80</f>
        <v>0.000238412987736902</v>
      </c>
      <c r="AD80" s="33" t="n">
        <f aca="false">T80/U80</f>
        <v>0.000173147196993194</v>
      </c>
    </row>
    <row r="81" s="34" customFormat="true" ht="14.25" hidden="false" customHeight="false" outlineLevel="0" collapsed="false">
      <c r="A81" s="1" t="s">
        <v>29</v>
      </c>
      <c r="B81" s="25" t="n">
        <v>44776</v>
      </c>
      <c r="C81" s="26" t="s">
        <v>30</v>
      </c>
      <c r="D81" s="3" t="n">
        <v>44777</v>
      </c>
      <c r="E81" s="27" t="s">
        <v>31</v>
      </c>
      <c r="F81" s="27" t="s">
        <v>32</v>
      </c>
      <c r="G81" s="27" t="n">
        <v>531171055</v>
      </c>
      <c r="H81" s="28" t="n">
        <v>0.333333333333333</v>
      </c>
      <c r="I81" s="5"/>
      <c r="J81" s="29" t="n">
        <v>12</v>
      </c>
      <c r="K81" s="7" t="n">
        <v>21.52</v>
      </c>
      <c r="L81" s="7" t="n">
        <v>20</v>
      </c>
      <c r="M81" s="7" t="n">
        <v>1450</v>
      </c>
      <c r="N81" s="7" t="n">
        <v>7.93</v>
      </c>
      <c r="O81" s="8" t="n">
        <v>18223</v>
      </c>
      <c r="P81" s="30" t="n">
        <f aca="false">(O81*1000)/24/60/60</f>
        <v>210.914351851852</v>
      </c>
      <c r="Q81" s="29" t="s">
        <v>34</v>
      </c>
      <c r="R81" s="6" t="n">
        <v>16.1</v>
      </c>
      <c r="S81" s="9" t="n">
        <v>39860.722423392</v>
      </c>
      <c r="T81" s="9" t="n">
        <v>3464.69759101506</v>
      </c>
      <c r="U81" s="9" t="n">
        <v>63123999.9254718</v>
      </c>
      <c r="V81" s="10" t="n">
        <f aca="false">S81/1000</f>
        <v>39.860722423392</v>
      </c>
      <c r="W81" s="10" t="n">
        <v>3.46469759101506</v>
      </c>
      <c r="X81" s="10" t="n">
        <f aca="false">U81/1000</f>
        <v>63123.9999254718</v>
      </c>
      <c r="Y81" s="1"/>
      <c r="AC81" s="33" t="n">
        <f aca="false">S81/U81</f>
        <v>0.00063146699306847</v>
      </c>
      <c r="AD81" s="33" t="n">
        <f aca="false">T81/U81</f>
        <v>5.48871680360197E-005</v>
      </c>
    </row>
    <row r="82" s="34" customFormat="true" ht="14.25" hidden="false" customHeight="false" outlineLevel="0" collapsed="false">
      <c r="A82" s="1" t="s">
        <v>29</v>
      </c>
      <c r="B82" s="25" t="n">
        <v>44776</v>
      </c>
      <c r="C82" s="26" t="s">
        <v>30</v>
      </c>
      <c r="D82" s="3" t="n">
        <v>44777</v>
      </c>
      <c r="E82" s="27" t="s">
        <v>35</v>
      </c>
      <c r="F82" s="27" t="s">
        <v>36</v>
      </c>
      <c r="G82" s="27" t="n">
        <v>531172956</v>
      </c>
      <c r="H82" s="28" t="n">
        <v>0.333333333333333</v>
      </c>
      <c r="I82" s="5"/>
      <c r="J82" s="29" t="n">
        <v>12</v>
      </c>
      <c r="K82" s="7" t="n">
        <v>20.88</v>
      </c>
      <c r="L82" s="7" t="n">
        <v>20</v>
      </c>
      <c r="M82" s="7" t="n">
        <v>690</v>
      </c>
      <c r="N82" s="7" t="n">
        <v>6.29</v>
      </c>
      <c r="O82" s="8" t="n">
        <v>17786</v>
      </c>
      <c r="P82" s="30" t="n">
        <f aca="false">(O82*1000)/24/60/60</f>
        <v>205.856481481481</v>
      </c>
      <c r="Q82" s="29" t="s">
        <v>34</v>
      </c>
      <c r="R82" s="6" t="n">
        <v>6</v>
      </c>
      <c r="S82" s="9" t="n">
        <v>28832.5454355926</v>
      </c>
      <c r="T82" s="9" t="n">
        <v>7333</v>
      </c>
      <c r="U82" s="9" t="n">
        <v>25174171.6274805</v>
      </c>
      <c r="V82" s="10" t="n">
        <f aca="false">S82/1000</f>
        <v>28.8325454355926</v>
      </c>
      <c r="W82" s="10" t="n">
        <f aca="false">T82/1000</f>
        <v>7.333</v>
      </c>
      <c r="X82" s="10" t="n">
        <f aca="false">U82/1000</f>
        <v>25174.1716274805</v>
      </c>
      <c r="Y82" s="1"/>
      <c r="AC82" s="33" t="n">
        <f aca="false">S82/U82</f>
        <v>0.00114532251000143</v>
      </c>
      <c r="AD82" s="33" t="n">
        <f aca="false">T82/U82</f>
        <v>0.000291290617562772</v>
      </c>
    </row>
    <row r="83" s="34" customFormat="true" ht="14.25" hidden="false" customHeight="false" outlineLevel="0" collapsed="false">
      <c r="A83" s="1" t="s">
        <v>29</v>
      </c>
      <c r="B83" s="25" t="n">
        <v>44781</v>
      </c>
      <c r="C83" s="26" t="s">
        <v>30</v>
      </c>
      <c r="D83" s="3" t="n">
        <v>44782</v>
      </c>
      <c r="E83" s="27" t="s">
        <v>31</v>
      </c>
      <c r="F83" s="27" t="s">
        <v>32</v>
      </c>
      <c r="G83" s="27" t="n">
        <v>531171901</v>
      </c>
      <c r="H83" s="28" t="n">
        <v>0.333333333333333</v>
      </c>
      <c r="I83" s="5"/>
      <c r="J83" s="29" t="n">
        <v>12</v>
      </c>
      <c r="K83" s="7" t="n">
        <v>21.57</v>
      </c>
      <c r="L83" s="7" t="n">
        <v>17</v>
      </c>
      <c r="M83" s="7" t="n">
        <v>1470</v>
      </c>
      <c r="N83" s="7" t="n">
        <v>7.93</v>
      </c>
      <c r="O83" s="8" t="n">
        <v>16488</v>
      </c>
      <c r="P83" s="30" t="n">
        <f aca="false">(O83*1000)/24/60/60</f>
        <v>190.833333333333</v>
      </c>
      <c r="Q83" s="29" t="s">
        <v>34</v>
      </c>
      <c r="R83" s="6" t="n">
        <v>21.7</v>
      </c>
      <c r="S83" s="9" t="n">
        <v>40813.3066974678</v>
      </c>
      <c r="T83" s="9" t="n">
        <v>3464.69759101506</v>
      </c>
      <c r="U83" s="9" t="n">
        <v>73520730.3785687</v>
      </c>
      <c r="V83" s="10" t="n">
        <f aca="false">S83/1000</f>
        <v>40.8133066974678</v>
      </c>
      <c r="W83" s="10" t="n">
        <v>3.46469759101506</v>
      </c>
      <c r="X83" s="10" t="n">
        <f aca="false">U83/1000</f>
        <v>73520.7303785687</v>
      </c>
      <c r="Y83" s="1"/>
      <c r="AC83" s="33" t="n">
        <f aca="false">S83/U83</f>
        <v>0.000555126513125132</v>
      </c>
      <c r="AD83" s="33" t="n">
        <f aca="false">T83/U83</f>
        <v>4.71254511914509E-005</v>
      </c>
    </row>
    <row r="84" s="34" customFormat="true" ht="14.25" hidden="false" customHeight="false" outlineLevel="0" collapsed="false">
      <c r="A84" s="1" t="s">
        <v>29</v>
      </c>
      <c r="B84" s="25" t="n">
        <v>44781</v>
      </c>
      <c r="C84" s="26" t="s">
        <v>30</v>
      </c>
      <c r="D84" s="3" t="n">
        <v>44782</v>
      </c>
      <c r="E84" s="27" t="s">
        <v>35</v>
      </c>
      <c r="F84" s="27" t="s">
        <v>36</v>
      </c>
      <c r="G84" s="27" t="n">
        <v>531172213</v>
      </c>
      <c r="H84" s="28" t="n">
        <v>0.333333333333333</v>
      </c>
      <c r="I84" s="5"/>
      <c r="J84" s="29" t="n">
        <v>12</v>
      </c>
      <c r="K84" s="7" t="n">
        <v>20.55</v>
      </c>
      <c r="L84" s="7" t="n">
        <v>17</v>
      </c>
      <c r="M84" s="7" t="n">
        <v>810</v>
      </c>
      <c r="N84" s="7" t="n">
        <v>7.1</v>
      </c>
      <c r="O84" s="8" t="n">
        <v>17415</v>
      </c>
      <c r="P84" s="30" t="n">
        <f aca="false">(O84*1000)/24/60/60</f>
        <v>201.5625</v>
      </c>
      <c r="Q84" s="29" t="s">
        <v>34</v>
      </c>
      <c r="R84" s="6" t="n">
        <v>5.6</v>
      </c>
      <c r="S84" s="9" t="n">
        <v>33786.9387279066</v>
      </c>
      <c r="T84" s="9" t="n">
        <v>7333</v>
      </c>
      <c r="U84" s="9" t="n">
        <v>138981205.654016</v>
      </c>
      <c r="V84" s="10" t="n">
        <f aca="false">S84/1000</f>
        <v>33.7869387279066</v>
      </c>
      <c r="W84" s="10" t="n">
        <f aca="false">T84/1000</f>
        <v>7.333</v>
      </c>
      <c r="X84" s="10" t="n">
        <f aca="false">U84/1000</f>
        <v>138981.205654016</v>
      </c>
      <c r="Y84" s="1"/>
      <c r="AC84" s="33" t="n">
        <f aca="false">S84/U84</f>
        <v>0.00024310437205457</v>
      </c>
      <c r="AD84" s="33" t="n">
        <f aca="false">T84/U84</f>
        <v>5.27625297643122E-005</v>
      </c>
    </row>
    <row r="85" s="45" customFormat="true" ht="14.25" hidden="false" customHeight="false" outlineLevel="0" collapsed="false">
      <c r="A85" s="37" t="s">
        <v>29</v>
      </c>
      <c r="B85" s="25" t="n">
        <v>44783</v>
      </c>
      <c r="C85" s="38" t="s">
        <v>30</v>
      </c>
      <c r="D85" s="3" t="n">
        <v>44784</v>
      </c>
      <c r="E85" s="39" t="s">
        <v>31</v>
      </c>
      <c r="F85" s="39" t="s">
        <v>32</v>
      </c>
      <c r="G85" s="39" t="n">
        <v>531171961</v>
      </c>
      <c r="H85" s="40" t="n">
        <v>0.333333333333333</v>
      </c>
      <c r="I85" s="41"/>
      <c r="J85" s="42" t="n">
        <v>12</v>
      </c>
      <c r="K85" s="43" t="n">
        <v>20.02</v>
      </c>
      <c r="L85" s="43" t="n">
        <v>17</v>
      </c>
      <c r="M85" s="43" t="n">
        <v>960</v>
      </c>
      <c r="N85" s="43" t="n">
        <v>7.86</v>
      </c>
      <c r="O85" s="43" t="n">
        <v>16774</v>
      </c>
      <c r="P85" s="30" t="n">
        <f aca="false">(O85*1000)/24/60/60</f>
        <v>194.143518518519</v>
      </c>
      <c r="Q85" s="42" t="s">
        <v>34</v>
      </c>
      <c r="R85" s="44" t="n">
        <v>30.5</v>
      </c>
      <c r="S85" s="9" t="n">
        <v>112693.280511451</v>
      </c>
      <c r="T85" s="9" t="n">
        <v>72099.7784945312</v>
      </c>
      <c r="U85" s="9" t="n">
        <v>319875677.697916</v>
      </c>
      <c r="V85" s="10" t="n">
        <f aca="false">S85/1000</f>
        <v>112.693280511451</v>
      </c>
      <c r="W85" s="10" t="n">
        <f aca="false">T85/1000</f>
        <v>72.0997784945312</v>
      </c>
      <c r="X85" s="10" t="n">
        <f aca="false">U85/1000</f>
        <v>319875.677697916</v>
      </c>
      <c r="Y85" s="37"/>
      <c r="AA85" s="34"/>
      <c r="AB85" s="34"/>
      <c r="AC85" s="33" t="n">
        <f aca="false">S85/U85</f>
        <v>0.000352303373993555</v>
      </c>
      <c r="AD85" s="33" t="n">
        <f aca="false">T85/U85</f>
        <v>0.00022539937707493</v>
      </c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</row>
    <row r="86" s="47" customFormat="true" ht="14.25" hidden="false" customHeight="false" outlineLevel="0" collapsed="false">
      <c r="A86" s="1" t="s">
        <v>29</v>
      </c>
      <c r="B86" s="25" t="n">
        <v>44783</v>
      </c>
      <c r="C86" s="26" t="s">
        <v>30</v>
      </c>
      <c r="D86" s="3" t="n">
        <v>44784</v>
      </c>
      <c r="E86" s="27" t="s">
        <v>35</v>
      </c>
      <c r="F86" s="27" t="s">
        <v>36</v>
      </c>
      <c r="G86" s="27" t="n">
        <v>531172500</v>
      </c>
      <c r="H86" s="28" t="n">
        <v>0.333333333333333</v>
      </c>
      <c r="I86" s="46"/>
      <c r="J86" s="29" t="n">
        <v>12</v>
      </c>
      <c r="K86" s="8" t="n">
        <v>20.73</v>
      </c>
      <c r="L86" s="8" t="n">
        <v>17</v>
      </c>
      <c r="M86" s="8" t="n">
        <v>850</v>
      </c>
      <c r="N86" s="8" t="n">
        <v>7.16</v>
      </c>
      <c r="O86" s="8" t="n">
        <v>18100</v>
      </c>
      <c r="P86" s="30" t="n">
        <f aca="false">(O86*1000)/24/60/60</f>
        <v>209.490740740741</v>
      </c>
      <c r="Q86" s="29" t="s">
        <v>34</v>
      </c>
      <c r="R86" s="6" t="n">
        <v>15.2</v>
      </c>
      <c r="S86" s="9" t="n">
        <v>41572.5410985833</v>
      </c>
      <c r="T86" s="9" t="n">
        <v>35907.1193878694</v>
      </c>
      <c r="U86" s="9" t="n">
        <v>2700660.36540653</v>
      </c>
      <c r="V86" s="10" t="n">
        <f aca="false">S86/1000</f>
        <v>41.5725410985833</v>
      </c>
      <c r="W86" s="10" t="n">
        <f aca="false">T86/1000</f>
        <v>35.9071193878694</v>
      </c>
      <c r="X86" s="10" t="n">
        <f aca="false">U86/1000</f>
        <v>2700.66036540653</v>
      </c>
      <c r="Y86" s="1"/>
      <c r="Z86" s="34"/>
      <c r="AA86" s="34"/>
      <c r="AB86" s="34"/>
      <c r="AC86" s="33" t="n">
        <f aca="false">S86/U86</f>
        <v>0.0153934725117963</v>
      </c>
      <c r="AD86" s="33" t="n">
        <f aca="false">T86/U86</f>
        <v>0.0132956812518202</v>
      </c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</row>
    <row r="87" s="34" customFormat="true" ht="12.75" hidden="false" customHeight="true" outlineLevel="0" collapsed="false">
      <c r="A87" s="1" t="s">
        <v>29</v>
      </c>
      <c r="B87" s="25" t="n">
        <v>44788</v>
      </c>
      <c r="C87" s="26" t="s">
        <v>30</v>
      </c>
      <c r="D87" s="3" t="n">
        <v>44789</v>
      </c>
      <c r="E87" s="1" t="s">
        <v>54</v>
      </c>
      <c r="F87" s="27" t="s">
        <v>55</v>
      </c>
      <c r="G87" s="27" t="n">
        <v>531173686</v>
      </c>
      <c r="H87" s="28" t="n">
        <v>0.333333333333333</v>
      </c>
      <c r="I87" s="46" t="s">
        <v>33</v>
      </c>
      <c r="J87" s="29" t="n">
        <v>12</v>
      </c>
      <c r="K87" s="8" t="n">
        <v>21.4</v>
      </c>
      <c r="L87" s="8" t="n">
        <v>17</v>
      </c>
      <c r="M87" s="8" t="n">
        <v>820</v>
      </c>
      <c r="N87" s="8" t="n">
        <v>7.12</v>
      </c>
      <c r="O87" s="8" t="n">
        <v>31535</v>
      </c>
      <c r="P87" s="30" t="n">
        <f aca="false">(O87*1000)/24/60/60</f>
        <v>364.988425925926</v>
      </c>
      <c r="Q87" s="29" t="s">
        <v>34</v>
      </c>
      <c r="R87" s="6" t="n">
        <v>9.5</v>
      </c>
      <c r="S87" s="9" t="n">
        <v>55606.4168373789</v>
      </c>
      <c r="T87" s="9" t="n">
        <v>50273.2963776693</v>
      </c>
      <c r="U87" s="9" t="n">
        <v>265061662.685967</v>
      </c>
      <c r="V87" s="10" t="n">
        <f aca="false">S87/1000</f>
        <v>55.6064168373789</v>
      </c>
      <c r="W87" s="10" t="n">
        <f aca="false">T87/1000</f>
        <v>50.2732963776693</v>
      </c>
      <c r="X87" s="10" t="n">
        <f aca="false">U87/1000</f>
        <v>265061.662685967</v>
      </c>
      <c r="Y87" s="1" t="s">
        <v>56</v>
      </c>
      <c r="AC87" s="33" t="n">
        <f aca="false">S87/U87</f>
        <v>0.000209786720093349</v>
      </c>
      <c r="AD87" s="33" t="n">
        <f aca="false">T87/U87</f>
        <v>0.000189666419006927</v>
      </c>
    </row>
    <row r="88" s="34" customFormat="true" ht="14.25" hidden="false" customHeight="false" outlineLevel="0" collapsed="false">
      <c r="A88" s="1" t="s">
        <v>29</v>
      </c>
      <c r="B88" s="25" t="n">
        <v>44790</v>
      </c>
      <c r="C88" s="26" t="s">
        <v>30</v>
      </c>
      <c r="D88" s="3" t="n">
        <v>44791</v>
      </c>
      <c r="E88" s="1" t="s">
        <v>54</v>
      </c>
      <c r="F88" s="27" t="s">
        <v>55</v>
      </c>
      <c r="G88" s="27" t="n">
        <v>531173666</v>
      </c>
      <c r="H88" s="28" t="n">
        <v>0.333333333333333</v>
      </c>
      <c r="I88" s="5"/>
      <c r="J88" s="29" t="n">
        <v>12</v>
      </c>
      <c r="K88" s="7" t="n">
        <v>20.9</v>
      </c>
      <c r="L88" s="7" t="n">
        <v>18</v>
      </c>
      <c r="M88" s="7" t="n">
        <v>740</v>
      </c>
      <c r="N88" s="7" t="n">
        <v>7.01</v>
      </c>
      <c r="O88" s="8" t="n">
        <v>33631</v>
      </c>
      <c r="P88" s="30" t="n">
        <f aca="false">(O88*1000)/24/60/60</f>
        <v>389.247685185185</v>
      </c>
      <c r="Q88" s="29" t="s">
        <v>34</v>
      </c>
      <c r="R88" s="6" t="n">
        <v>6.5</v>
      </c>
      <c r="S88" s="9" t="n">
        <v>45331.6279011438</v>
      </c>
      <c r="T88" s="9" t="n">
        <v>59486.1361655524</v>
      </c>
      <c r="U88" s="9" t="n">
        <v>197036249.227184</v>
      </c>
      <c r="V88" s="10" t="n">
        <f aca="false">S88/1000</f>
        <v>45.3316279011438</v>
      </c>
      <c r="W88" s="10" t="n">
        <f aca="false">T88/1000</f>
        <v>59.4861361655524</v>
      </c>
      <c r="X88" s="10" t="n">
        <f aca="false">U88/1000</f>
        <v>197036.249227184</v>
      </c>
      <c r="Y88" s="1" t="s">
        <v>56</v>
      </c>
      <c r="AC88" s="33" t="n">
        <f aca="false">S88/U88</f>
        <v>0.000230067452455797</v>
      </c>
      <c r="AD88" s="33" t="n">
        <f aca="false">T88/U88</f>
        <v>0.000301904529744497</v>
      </c>
    </row>
    <row r="89" s="34" customFormat="true" ht="14.25" hidden="false" customHeight="false" outlineLevel="0" collapsed="false">
      <c r="A89" s="1" t="s">
        <v>29</v>
      </c>
      <c r="B89" s="2" t="n">
        <v>44795</v>
      </c>
      <c r="C89" s="26" t="s">
        <v>30</v>
      </c>
      <c r="D89" s="3" t="n">
        <v>44796</v>
      </c>
      <c r="E89" s="1" t="s">
        <v>54</v>
      </c>
      <c r="F89" s="27" t="s">
        <v>55</v>
      </c>
      <c r="G89" s="27" t="n">
        <v>531173578</v>
      </c>
      <c r="H89" s="28" t="n">
        <v>0.333333333333333</v>
      </c>
      <c r="I89" s="5"/>
      <c r="J89" s="29" t="n">
        <v>12</v>
      </c>
      <c r="K89" s="7" t="n">
        <v>21.46</v>
      </c>
      <c r="L89" s="7" t="n">
        <v>17</v>
      </c>
      <c r="M89" s="7" t="n">
        <v>940</v>
      </c>
      <c r="N89" s="7" t="n">
        <v>7.29</v>
      </c>
      <c r="O89" s="8" t="n">
        <v>33406</v>
      </c>
      <c r="P89" s="30" t="n">
        <f aca="false">(O89*1000)/24/60/60</f>
        <v>386.643518518519</v>
      </c>
      <c r="Q89" s="29" t="s">
        <v>34</v>
      </c>
      <c r="R89" s="6" t="n">
        <v>3.5</v>
      </c>
      <c r="S89" s="9" t="n">
        <v>10478.4790138019</v>
      </c>
      <c r="T89" s="9" t="n">
        <v>14855.65561766</v>
      </c>
      <c r="U89" s="9" t="n">
        <v>29086425.6954077</v>
      </c>
      <c r="V89" s="10" t="n">
        <f aca="false">S89/1000</f>
        <v>10.4784790138019</v>
      </c>
      <c r="W89" s="10" t="n">
        <f aca="false">T89/1000</f>
        <v>14.85565561766</v>
      </c>
      <c r="X89" s="10" t="n">
        <f aca="false">U89/1000</f>
        <v>29086.4256954077</v>
      </c>
      <c r="Y89" s="1" t="s">
        <v>56</v>
      </c>
      <c r="Z89" s="34" t="n">
        <v>264.1</v>
      </c>
      <c r="AC89" s="33" t="n">
        <f aca="false">S89/U89</f>
        <v>0.000360253237146849</v>
      </c>
      <c r="AD89" s="33" t="n">
        <f aca="false">T89/U89</f>
        <v>0.000510741875719899</v>
      </c>
    </row>
    <row r="90" s="34" customFormat="true" ht="14.25" hidden="false" customHeight="false" outlineLevel="0" collapsed="false">
      <c r="A90" s="1" t="s">
        <v>29</v>
      </c>
      <c r="B90" s="2" t="n">
        <v>44797</v>
      </c>
      <c r="C90" s="26" t="s">
        <v>30</v>
      </c>
      <c r="D90" s="3" t="n">
        <v>44798</v>
      </c>
      <c r="E90" s="1" t="s">
        <v>54</v>
      </c>
      <c r="F90" s="27" t="s">
        <v>55</v>
      </c>
      <c r="G90" s="27" t="n">
        <v>531173732</v>
      </c>
      <c r="H90" s="28" t="n">
        <v>0.333333333333333</v>
      </c>
      <c r="I90" s="5"/>
      <c r="J90" s="29" t="n">
        <v>12</v>
      </c>
      <c r="K90" s="7" t="n">
        <v>21.2</v>
      </c>
      <c r="L90" s="7" t="n">
        <v>19</v>
      </c>
      <c r="M90" s="7" t="n">
        <v>881</v>
      </c>
      <c r="N90" s="7" t="n">
        <v>7.06</v>
      </c>
      <c r="O90" s="8" t="n">
        <v>34437</v>
      </c>
      <c r="P90" s="30" t="n">
        <f aca="false">(O90*1000)/24/60/60</f>
        <v>398.576388888889</v>
      </c>
      <c r="Q90" s="29" t="s">
        <v>34</v>
      </c>
      <c r="R90" s="6" t="n">
        <v>5.9</v>
      </c>
      <c r="S90" s="9" t="n">
        <v>34126.4061503433</v>
      </c>
      <c r="T90" s="9" t="n">
        <v>33754.7922779682</v>
      </c>
      <c r="U90" s="9" t="n">
        <v>1917406.22604383</v>
      </c>
      <c r="V90" s="10" t="n">
        <f aca="false">S90/1000</f>
        <v>34.1264061503433</v>
      </c>
      <c r="W90" s="10" t="n">
        <f aca="false">T90/1000</f>
        <v>33.7547922779682</v>
      </c>
      <c r="X90" s="10" t="n">
        <f aca="false">U90/1000</f>
        <v>1917.40622604383</v>
      </c>
      <c r="Y90" s="1" t="s">
        <v>56</v>
      </c>
      <c r="AC90" s="33" t="n">
        <f aca="false">S90/U90</f>
        <v>0.0177982139031414</v>
      </c>
      <c r="AD90" s="33" t="n">
        <f aca="false">T90/U90</f>
        <v>0.0176044031877451</v>
      </c>
    </row>
    <row r="91" s="34" customFormat="true" ht="14.25" hidden="false" customHeight="false" outlineLevel="0" collapsed="false">
      <c r="A91" s="1" t="s">
        <v>29</v>
      </c>
      <c r="B91" s="2" t="n">
        <v>44802</v>
      </c>
      <c r="C91" s="26" t="s">
        <v>30</v>
      </c>
      <c r="D91" s="3" t="n">
        <v>44803</v>
      </c>
      <c r="E91" s="1" t="s">
        <v>54</v>
      </c>
      <c r="F91" s="27" t="s">
        <v>55</v>
      </c>
      <c r="G91" s="27" t="n">
        <v>531173338</v>
      </c>
      <c r="H91" s="4" t="n">
        <v>0.333333333333333</v>
      </c>
      <c r="I91" s="5"/>
      <c r="J91" s="6" t="n">
        <v>12</v>
      </c>
      <c r="K91" s="7" t="n">
        <v>21.3</v>
      </c>
      <c r="L91" s="7" t="n">
        <v>15</v>
      </c>
      <c r="M91" s="7" t="n">
        <v>950</v>
      </c>
      <c r="N91" s="7" t="n">
        <v>6.82</v>
      </c>
      <c r="O91" s="8" t="n">
        <v>34612</v>
      </c>
      <c r="P91" s="30" t="n">
        <f aca="false">(O91*1000)/24/60/60</f>
        <v>400.601851851852</v>
      </c>
      <c r="Q91" s="29" t="s">
        <v>34</v>
      </c>
      <c r="R91" s="6" t="n">
        <v>10.9</v>
      </c>
      <c r="S91" s="9" t="n">
        <v>8631.49496473304</v>
      </c>
      <c r="T91" s="9" t="n">
        <v>8516.98121952747</v>
      </c>
      <c r="U91" s="9" t="n">
        <v>78276429.6690419</v>
      </c>
      <c r="V91" s="10" t="n">
        <f aca="false">S91/1000</f>
        <v>8.63149496473304</v>
      </c>
      <c r="W91" s="10" t="n">
        <f aca="false">T91/1000</f>
        <v>8.51698121952747</v>
      </c>
      <c r="X91" s="10" t="n">
        <f aca="false">U91/1000</f>
        <v>78276.4296690419</v>
      </c>
      <c r="Y91" s="1" t="s">
        <v>56</v>
      </c>
      <c r="AC91" s="33" t="n">
        <f aca="false">S91/U91</f>
        <v>0.000110269400395848</v>
      </c>
      <c r="AD91" s="33" t="n">
        <f aca="false">T91/U91</f>
        <v>0.000108806460074097</v>
      </c>
    </row>
    <row r="92" s="34" customFormat="true" ht="14.25" hidden="false" customHeight="false" outlineLevel="0" collapsed="false">
      <c r="A92" s="1" t="s">
        <v>29</v>
      </c>
      <c r="B92" s="2" t="n">
        <v>44804</v>
      </c>
      <c r="C92" s="26" t="s">
        <v>30</v>
      </c>
      <c r="D92" s="3" t="n">
        <v>44805</v>
      </c>
      <c r="E92" s="1" t="s">
        <v>54</v>
      </c>
      <c r="F92" s="27" t="s">
        <v>55</v>
      </c>
      <c r="G92" s="1" t="n">
        <v>531173237</v>
      </c>
      <c r="H92" s="4" t="n">
        <v>0.333333333333333</v>
      </c>
      <c r="I92" s="5" t="s">
        <v>39</v>
      </c>
      <c r="J92" s="6" t="n">
        <v>12</v>
      </c>
      <c r="K92" s="7" t="n">
        <v>21.26</v>
      </c>
      <c r="L92" s="7" t="n">
        <v>15</v>
      </c>
      <c r="M92" s="7" t="n">
        <v>830</v>
      </c>
      <c r="N92" s="7" t="n">
        <v>7.03</v>
      </c>
      <c r="O92" s="8" t="n">
        <v>39374</v>
      </c>
      <c r="P92" s="30" t="n">
        <f aca="false">(O92*1000)/24/60/60</f>
        <v>455.717592592593</v>
      </c>
      <c r="Q92" s="29" t="s">
        <v>59</v>
      </c>
      <c r="R92" s="6" t="n">
        <v>7.9</v>
      </c>
      <c r="S92" s="9" t="n">
        <v>10263.0278964843</v>
      </c>
      <c r="T92" s="9" t="n">
        <v>8516.98121952747</v>
      </c>
      <c r="U92" s="9" t="n">
        <v>56275253.1912083</v>
      </c>
      <c r="V92" s="10" t="n">
        <f aca="false">S92/1000</f>
        <v>10.2630278964843</v>
      </c>
      <c r="W92" s="10" t="n">
        <f aca="false">T92/1000</f>
        <v>8.51698121952747</v>
      </c>
      <c r="X92" s="10" t="n">
        <f aca="false">U92/1000</f>
        <v>56275.2531912083</v>
      </c>
      <c r="Y92" s="1"/>
      <c r="AC92" s="33" t="n">
        <f aca="false">S92/U92</f>
        <v>0.000182371954180521</v>
      </c>
      <c r="AD92" s="33" t="n">
        <f aca="false">T92/U92</f>
        <v>0.000151345053759048</v>
      </c>
    </row>
    <row r="93" s="34" customFormat="true" ht="14.25" hidden="false" customHeight="false" outlineLevel="0" collapsed="false">
      <c r="A93" s="1" t="s">
        <v>29</v>
      </c>
      <c r="B93" s="2" t="n">
        <v>44809</v>
      </c>
      <c r="C93" s="26" t="s">
        <v>30</v>
      </c>
      <c r="D93" s="3" t="n">
        <v>44810</v>
      </c>
      <c r="E93" s="1" t="s">
        <v>54</v>
      </c>
      <c r="F93" s="27" t="s">
        <v>55</v>
      </c>
      <c r="G93" s="1" t="n">
        <v>531173856</v>
      </c>
      <c r="H93" s="4" t="n">
        <v>0.333333333333333</v>
      </c>
      <c r="I93" s="5" t="s">
        <v>38</v>
      </c>
      <c r="J93" s="6" t="n">
        <v>12</v>
      </c>
      <c r="K93" s="7" t="n">
        <v>21.2</v>
      </c>
      <c r="L93" s="7" t="n">
        <v>17</v>
      </c>
      <c r="M93" s="7" t="n">
        <v>760</v>
      </c>
      <c r="N93" s="7" t="n">
        <v>6.7</v>
      </c>
      <c r="O93" s="8" t="n">
        <v>36689</v>
      </c>
      <c r="P93" s="30" t="n">
        <f aca="false">(O93*1000)/24/60/60</f>
        <v>424.641203703704</v>
      </c>
      <c r="Q93" s="29" t="s">
        <v>34</v>
      </c>
      <c r="R93" s="6" t="n">
        <v>17.3</v>
      </c>
      <c r="S93" s="9" t="n">
        <v>27820.6299415927</v>
      </c>
      <c r="T93" s="9" t="n">
        <v>19088.1448832266</v>
      </c>
      <c r="U93" s="9" t="n">
        <v>160566687.620475</v>
      </c>
      <c r="V93" s="10" t="n">
        <f aca="false">S93/1000</f>
        <v>27.8206299415927</v>
      </c>
      <c r="W93" s="10" t="n">
        <f aca="false">T93/1000</f>
        <v>19.0881448832266</v>
      </c>
      <c r="X93" s="10" t="n">
        <f aca="false">U93/1000</f>
        <v>160566.687620475</v>
      </c>
      <c r="Y93" s="1"/>
      <c r="AC93" s="33" t="n">
        <f aca="false">S93/U93</f>
        <v>0.000173265266624614</v>
      </c>
      <c r="AD93" s="33" t="n">
        <f aca="false">T93/U93</f>
        <v>0.000118879857124191</v>
      </c>
    </row>
    <row r="94" s="34" customFormat="true" ht="14.25" hidden="false" customHeight="false" outlineLevel="0" collapsed="false">
      <c r="A94" s="1" t="s">
        <v>29</v>
      </c>
      <c r="B94" s="2" t="n">
        <v>44811</v>
      </c>
      <c r="C94" s="26" t="s">
        <v>30</v>
      </c>
      <c r="D94" s="3" t="n">
        <v>44812</v>
      </c>
      <c r="E94" s="27" t="s">
        <v>31</v>
      </c>
      <c r="F94" s="27" t="s">
        <v>32</v>
      </c>
      <c r="G94" s="1" t="n">
        <v>531171505</v>
      </c>
      <c r="H94" s="4" t="n">
        <v>0.333333333333333</v>
      </c>
      <c r="I94" s="46" t="s">
        <v>38</v>
      </c>
      <c r="J94" s="6" t="n">
        <v>12</v>
      </c>
      <c r="K94" s="8" t="n">
        <v>19.8</v>
      </c>
      <c r="L94" s="8" t="n">
        <v>16</v>
      </c>
      <c r="M94" s="8" t="n">
        <v>270</v>
      </c>
      <c r="N94" s="8" t="n">
        <v>7.52</v>
      </c>
      <c r="O94" s="8" t="n">
        <v>29644</v>
      </c>
      <c r="P94" s="30" t="n">
        <f aca="false">(O94*1000)/24/60/60</f>
        <v>343.101851851852</v>
      </c>
      <c r="Q94" s="29" t="s">
        <v>60</v>
      </c>
      <c r="R94" s="6" t="n">
        <v>6.4</v>
      </c>
      <c r="S94" s="9" t="n">
        <v>0</v>
      </c>
      <c r="T94" s="9" t="n">
        <v>0</v>
      </c>
      <c r="U94" s="9" t="n">
        <v>437800.761204896</v>
      </c>
      <c r="V94" s="10" t="n">
        <f aca="false">S94/1000</f>
        <v>0</v>
      </c>
      <c r="W94" s="10" t="n">
        <f aca="false">T94/1000</f>
        <v>0</v>
      </c>
      <c r="X94" s="10" t="n">
        <f aca="false">U94/1000</f>
        <v>437.800761204896</v>
      </c>
      <c r="Y94" s="1" t="s">
        <v>61</v>
      </c>
      <c r="Z94" s="1"/>
      <c r="AC94" s="33" t="n">
        <f aca="false">S94/U94</f>
        <v>0</v>
      </c>
      <c r="AD94" s="33" t="n">
        <f aca="false">T94/U94</f>
        <v>0</v>
      </c>
    </row>
    <row r="95" s="1" customFormat="true" ht="14.1" hidden="false" customHeight="true" outlineLevel="0" collapsed="false">
      <c r="A95" s="1" t="s">
        <v>29</v>
      </c>
      <c r="B95" s="2" t="n">
        <v>44811</v>
      </c>
      <c r="C95" s="26" t="s">
        <v>30</v>
      </c>
      <c r="D95" s="3" t="n">
        <v>44812</v>
      </c>
      <c r="E95" s="27" t="s">
        <v>35</v>
      </c>
      <c r="F95" s="27" t="s">
        <v>36</v>
      </c>
      <c r="G95" s="1" t="n">
        <v>531172215</v>
      </c>
      <c r="H95" s="4" t="n">
        <v>0.333333333333333</v>
      </c>
      <c r="I95" s="46" t="s">
        <v>38</v>
      </c>
      <c r="J95" s="6" t="n">
        <v>12</v>
      </c>
      <c r="K95" s="8" t="n">
        <v>19.9</v>
      </c>
      <c r="L95" s="8" t="n">
        <v>16</v>
      </c>
      <c r="M95" s="8" t="n">
        <v>150</v>
      </c>
      <c r="N95" s="8" t="n">
        <v>6.7</v>
      </c>
      <c r="O95" s="8" t="n">
        <v>28921</v>
      </c>
      <c r="P95" s="30" t="n">
        <f aca="false">(O95*1000)/24/60/60</f>
        <v>334.733796296296</v>
      </c>
      <c r="Q95" s="29" t="s">
        <v>60</v>
      </c>
      <c r="R95" s="6" t="n">
        <v>6</v>
      </c>
      <c r="S95" s="9" t="n">
        <v>0</v>
      </c>
      <c r="T95" s="9" t="n">
        <v>0</v>
      </c>
      <c r="U95" s="9" t="n">
        <v>413403.649099124</v>
      </c>
      <c r="V95" s="10" t="n">
        <f aca="false">S95/1000</f>
        <v>0</v>
      </c>
      <c r="W95" s="10" t="n">
        <f aca="false">T95/1000</f>
        <v>0</v>
      </c>
      <c r="X95" s="10" t="n">
        <f aca="false">U95/1000</f>
        <v>413.403649099124</v>
      </c>
      <c r="Y95" s="1" t="s">
        <v>61</v>
      </c>
      <c r="AC95" s="33" t="n">
        <f aca="false">S95/U95</f>
        <v>0</v>
      </c>
      <c r="AD95" s="33" t="n">
        <f aca="false">T95/U95</f>
        <v>0</v>
      </c>
    </row>
    <row r="96" s="1" customFormat="true" ht="14.1" hidden="false" customHeight="true" outlineLevel="0" collapsed="false">
      <c r="A96" s="1" t="s">
        <v>29</v>
      </c>
      <c r="B96" s="2" t="n">
        <v>44816</v>
      </c>
      <c r="C96" s="26" t="s">
        <v>30</v>
      </c>
      <c r="D96" s="3" t="n">
        <v>44817</v>
      </c>
      <c r="E96" s="27" t="s">
        <v>31</v>
      </c>
      <c r="F96" s="27" t="s">
        <v>32</v>
      </c>
      <c r="G96" s="1" t="n">
        <v>531171776</v>
      </c>
      <c r="H96" s="4" t="n">
        <v>0.333333333333333</v>
      </c>
      <c r="I96" s="46" t="s">
        <v>38</v>
      </c>
      <c r="J96" s="29" t="n">
        <v>12</v>
      </c>
      <c r="K96" s="8" t="n">
        <v>21.9</v>
      </c>
      <c r="L96" s="8" t="n">
        <v>13</v>
      </c>
      <c r="M96" s="8" t="n">
        <v>1480</v>
      </c>
      <c r="N96" s="8" t="n">
        <v>7.97</v>
      </c>
      <c r="O96" s="8" t="n">
        <v>17365</v>
      </c>
      <c r="P96" s="30" t="n">
        <f aca="false">(O96*1000)/24/60/60</f>
        <v>200.983796296296</v>
      </c>
      <c r="Q96" s="29" t="s">
        <v>60</v>
      </c>
      <c r="R96" s="6" t="n">
        <v>15</v>
      </c>
      <c r="S96" s="9" t="n">
        <v>16897.4525058759</v>
      </c>
      <c r="T96" s="9" t="n">
        <v>8516.98121952747</v>
      </c>
      <c r="U96" s="9" t="n">
        <v>69927890.6030294</v>
      </c>
      <c r="V96" s="10" t="n">
        <f aca="false">S96/1000</f>
        <v>16.8974525058759</v>
      </c>
      <c r="W96" s="10" t="n">
        <f aca="false">T96/1000</f>
        <v>8.51698121952747</v>
      </c>
      <c r="X96" s="10" t="n">
        <f aca="false">U96/1000</f>
        <v>69927.8906030294</v>
      </c>
      <c r="AC96" s="33" t="n">
        <f aca="false">S96/U96</f>
        <v>0.000241641101428331</v>
      </c>
      <c r="AD96" s="33" t="n">
        <f aca="false">T96/U96</f>
        <v>0.00012179662715521</v>
      </c>
    </row>
    <row r="97" s="1" customFormat="true" ht="14.1" hidden="false" customHeight="true" outlineLevel="0" collapsed="false">
      <c r="A97" s="1" t="s">
        <v>29</v>
      </c>
      <c r="B97" s="2" t="n">
        <v>44816</v>
      </c>
      <c r="C97" s="26" t="s">
        <v>30</v>
      </c>
      <c r="D97" s="3" t="n">
        <v>44817</v>
      </c>
      <c r="E97" s="27" t="s">
        <v>35</v>
      </c>
      <c r="F97" s="27" t="s">
        <v>36</v>
      </c>
      <c r="G97" s="1" t="n">
        <v>531172936</v>
      </c>
      <c r="H97" s="4" t="n">
        <v>0.333333333333333</v>
      </c>
      <c r="I97" s="46" t="s">
        <v>38</v>
      </c>
      <c r="J97" s="29" t="n">
        <v>12</v>
      </c>
      <c r="K97" s="8" t="n">
        <v>20.8</v>
      </c>
      <c r="L97" s="8" t="n">
        <v>13</v>
      </c>
      <c r="M97" s="8" t="n">
        <v>730</v>
      </c>
      <c r="N97" s="8" t="n">
        <v>6.81</v>
      </c>
      <c r="O97" s="8" t="n">
        <v>17211</v>
      </c>
      <c r="P97" s="30" t="n">
        <f aca="false">(O97*1000)/24/60/60</f>
        <v>199.201388888889</v>
      </c>
      <c r="Q97" s="29" t="s">
        <v>60</v>
      </c>
      <c r="R97" s="6" t="n">
        <v>9.1</v>
      </c>
      <c r="S97" s="9" t="n">
        <v>8631.49496473304</v>
      </c>
      <c r="T97" s="9" t="n">
        <v>8516.98121952747</v>
      </c>
      <c r="U97" s="9" t="n">
        <v>8101717.73849251</v>
      </c>
      <c r="V97" s="10" t="n">
        <f aca="false">S97/1000</f>
        <v>8.63149496473304</v>
      </c>
      <c r="W97" s="10" t="n">
        <f aca="false">T97/1000</f>
        <v>8.51698121952747</v>
      </c>
      <c r="X97" s="10" t="n">
        <f aca="false">U97/1000</f>
        <v>8101.71773849251</v>
      </c>
      <c r="AC97" s="33" t="n">
        <f aca="false">S97/U97</f>
        <v>0.00106539072865048</v>
      </c>
      <c r="AD97" s="33" t="n">
        <f aca="false">T97/U97</f>
        <v>0.00105125622669647</v>
      </c>
    </row>
    <row r="98" s="1" customFormat="true" ht="14.1" hidden="false" customHeight="true" outlineLevel="0" collapsed="false">
      <c r="A98" s="1" t="s">
        <v>29</v>
      </c>
      <c r="B98" s="25" t="n">
        <v>44818</v>
      </c>
      <c r="C98" s="26" t="s">
        <v>30</v>
      </c>
      <c r="D98" s="26" t="n">
        <v>44819</v>
      </c>
      <c r="E98" s="27" t="s">
        <v>31</v>
      </c>
      <c r="F98" s="27" t="s">
        <v>32</v>
      </c>
      <c r="G98" s="1" t="n">
        <v>531171810</v>
      </c>
      <c r="H98" s="4" t="n">
        <v>0.333333333333333</v>
      </c>
      <c r="I98" s="46" t="s">
        <v>38</v>
      </c>
      <c r="J98" s="6" t="n">
        <v>12</v>
      </c>
      <c r="K98" s="8" t="n">
        <v>20.5</v>
      </c>
      <c r="L98" s="8" t="n">
        <v>18</v>
      </c>
      <c r="M98" s="8" t="n">
        <v>760</v>
      </c>
      <c r="N98" s="8" t="n">
        <v>7.96</v>
      </c>
      <c r="O98" s="8" t="n">
        <v>65128</v>
      </c>
      <c r="P98" s="30" t="n">
        <f aca="false">(O98*1000)/24/60/60</f>
        <v>753.796296296296</v>
      </c>
      <c r="Q98" s="29" t="s">
        <v>60</v>
      </c>
      <c r="R98" s="6" t="n">
        <v>2.3</v>
      </c>
      <c r="S98" s="9" t="n">
        <v>8294.45067513244</v>
      </c>
      <c r="T98" s="9" t="n">
        <v>7331.78773772096</v>
      </c>
      <c r="U98" s="9" t="n">
        <v>2653256.30021724</v>
      </c>
      <c r="V98" s="10" t="n">
        <f aca="false">S98/1000</f>
        <v>8.29445067513244</v>
      </c>
      <c r="W98" s="10" t="n">
        <f aca="false">T98/1000</f>
        <v>7.33178773772096</v>
      </c>
      <c r="X98" s="10" t="n">
        <f aca="false">U98/1000</f>
        <v>2653.25630021724</v>
      </c>
      <c r="AC98" s="33" t="n">
        <f aca="false">S98/U98</f>
        <v>0.0031261400093362</v>
      </c>
      <c r="AD98" s="33" t="n">
        <f aca="false">T98/U98</f>
        <v>0.00276331681078856</v>
      </c>
    </row>
    <row r="99" s="1" customFormat="true" ht="14.1" hidden="false" customHeight="true" outlineLevel="0" collapsed="false">
      <c r="A99" s="1" t="s">
        <v>29</v>
      </c>
      <c r="B99" s="25" t="n">
        <v>44818</v>
      </c>
      <c r="C99" s="26" t="s">
        <v>30</v>
      </c>
      <c r="D99" s="26" t="n">
        <v>44819</v>
      </c>
      <c r="E99" s="27" t="s">
        <v>35</v>
      </c>
      <c r="F99" s="27" t="s">
        <v>36</v>
      </c>
      <c r="G99" s="1" t="n">
        <v>531172903</v>
      </c>
      <c r="H99" s="4" t="n">
        <v>0.333333333333333</v>
      </c>
      <c r="I99" s="46" t="s">
        <v>38</v>
      </c>
      <c r="J99" s="6" t="n">
        <v>12</v>
      </c>
      <c r="K99" s="8" t="n">
        <v>20.2</v>
      </c>
      <c r="L99" s="8" t="n">
        <v>18</v>
      </c>
      <c r="M99" s="8" t="n">
        <v>360</v>
      </c>
      <c r="N99" s="8" t="n">
        <v>6.89</v>
      </c>
      <c r="O99" s="8" t="n">
        <v>88407</v>
      </c>
      <c r="P99" s="30" t="n">
        <f aca="false">(O99*1000)/24/60/60</f>
        <v>1023.22916666667</v>
      </c>
      <c r="Q99" s="29" t="s">
        <v>60</v>
      </c>
      <c r="R99" s="6" t="n">
        <v>1.4</v>
      </c>
      <c r="S99" s="9" t="n">
        <v>8294.45067513244</v>
      </c>
      <c r="T99" s="9" t="n">
        <v>7331.78773772096</v>
      </c>
      <c r="U99" s="9" t="n">
        <v>1946737.02531929</v>
      </c>
      <c r="V99" s="10" t="n">
        <f aca="false">S99/1000</f>
        <v>8.29445067513244</v>
      </c>
      <c r="W99" s="10" t="n">
        <f aca="false">T99/1000</f>
        <v>7.33178773772096</v>
      </c>
      <c r="X99" s="10" t="n">
        <f aca="false">U99/1000</f>
        <v>1946.73702531929</v>
      </c>
      <c r="AC99" s="33" t="n">
        <f aca="false">S99/U99</f>
        <v>0.00426069395468145</v>
      </c>
      <c r="AD99" s="33" t="n">
        <f aca="false">T99/U99</f>
        <v>0.00376619319526142</v>
      </c>
    </row>
    <row r="100" s="1" customFormat="true" ht="14.1" hidden="false" customHeight="true" outlineLevel="0" collapsed="false">
      <c r="A100" s="1" t="s">
        <v>29</v>
      </c>
      <c r="B100" s="2" t="n">
        <v>44823</v>
      </c>
      <c r="C100" s="26" t="s">
        <v>30</v>
      </c>
      <c r="D100" s="3" t="n">
        <v>44824</v>
      </c>
      <c r="E100" s="27" t="s">
        <v>54</v>
      </c>
      <c r="F100" s="27" t="s">
        <v>55</v>
      </c>
      <c r="G100" s="1" t="n">
        <v>531173263</v>
      </c>
      <c r="H100" s="4" t="n">
        <v>0.333333333333333</v>
      </c>
      <c r="I100" s="46"/>
      <c r="J100" s="6" t="n">
        <v>12</v>
      </c>
      <c r="K100" s="8" t="n">
        <v>19.52</v>
      </c>
      <c r="L100" s="8" t="n">
        <v>10</v>
      </c>
      <c r="M100" s="8" t="n">
        <v>750</v>
      </c>
      <c r="N100" s="8" t="n">
        <v>6.42</v>
      </c>
      <c r="O100" s="8" t="n">
        <v>48847</v>
      </c>
      <c r="P100" s="30" t="n">
        <f aca="false">(O100*1000)/24/60/60</f>
        <v>565.358796296296</v>
      </c>
      <c r="Q100" s="29" t="s">
        <v>60</v>
      </c>
      <c r="R100" s="6" t="n">
        <v>2.7</v>
      </c>
      <c r="S100" s="9" t="n">
        <v>8294.45067513244</v>
      </c>
      <c r="T100" s="9" t="n">
        <v>15319.6141810303</v>
      </c>
      <c r="U100" s="9" t="n">
        <v>21065847.381512</v>
      </c>
      <c r="V100" s="10" t="n">
        <f aca="false">S100/1000</f>
        <v>8.29445067513244</v>
      </c>
      <c r="W100" s="10" t="n">
        <f aca="false">T100/1000</f>
        <v>15.3196141810303</v>
      </c>
      <c r="X100" s="10" t="n">
        <f aca="false">U100/1000</f>
        <v>21065.847381512</v>
      </c>
      <c r="AC100" s="33" t="n">
        <f aca="false">S100/U100</f>
        <v>0.000393739237017918</v>
      </c>
      <c r="AD100" s="33" t="n">
        <f aca="false">T100/U100</f>
        <v>0.000727225157554082</v>
      </c>
    </row>
    <row r="101" s="1" customFormat="true" ht="14.1" hidden="false" customHeight="true" outlineLevel="0" collapsed="false">
      <c r="A101" s="1" t="s">
        <v>29</v>
      </c>
      <c r="B101" s="2" t="n">
        <v>44825</v>
      </c>
      <c r="C101" s="26" t="s">
        <v>30</v>
      </c>
      <c r="D101" s="3" t="n">
        <v>44826</v>
      </c>
      <c r="E101" s="27" t="s">
        <v>54</v>
      </c>
      <c r="F101" s="27" t="s">
        <v>55</v>
      </c>
      <c r="G101" s="1" t="n">
        <v>531173220</v>
      </c>
      <c r="H101" s="4" t="n">
        <v>0.333333333333333</v>
      </c>
      <c r="I101" s="46" t="s">
        <v>62</v>
      </c>
      <c r="J101" s="6" t="n">
        <v>12</v>
      </c>
      <c r="K101" s="8" t="n">
        <v>20.2</v>
      </c>
      <c r="L101" s="8" t="n">
        <v>7</v>
      </c>
      <c r="M101" s="8" t="n">
        <v>990</v>
      </c>
      <c r="N101" s="8" t="n">
        <v>7.6</v>
      </c>
      <c r="O101" s="8" t="n">
        <v>34474</v>
      </c>
      <c r="P101" s="30" t="n">
        <f aca="false">(O101*1000)/24/60/60</f>
        <v>399.00462962963</v>
      </c>
      <c r="Q101" s="29" t="s">
        <v>34</v>
      </c>
      <c r="R101" s="6" t="n">
        <v>4</v>
      </c>
      <c r="S101" s="9" t="n">
        <v>14119.764751563</v>
      </c>
      <c r="T101" s="9" t="n">
        <v>8385.60797499364</v>
      </c>
      <c r="U101" s="9" t="n">
        <v>12525611.2198639</v>
      </c>
      <c r="V101" s="10" t="n">
        <f aca="false">S101/1000</f>
        <v>14.119764751563</v>
      </c>
      <c r="W101" s="10" t="n">
        <f aca="false">T101/1000</f>
        <v>8.38560797499364</v>
      </c>
      <c r="X101" s="10" t="n">
        <f aca="false">U101/1000</f>
        <v>12525.6112198639</v>
      </c>
      <c r="AC101" s="33" t="n">
        <f aca="false">S101/U101</f>
        <v>0.00112727151623316</v>
      </c>
      <c r="AD101" s="33" t="n">
        <f aca="false">T101/U101</f>
        <v>0.000669476948294165</v>
      </c>
    </row>
    <row r="102" s="1" customFormat="true" ht="14.1" hidden="false" customHeight="true" outlineLevel="0" collapsed="false">
      <c r="A102" s="1" t="s">
        <v>29</v>
      </c>
      <c r="B102" s="2" t="n">
        <v>44830</v>
      </c>
      <c r="C102" s="26" t="s">
        <v>30</v>
      </c>
      <c r="D102" s="3" t="n">
        <v>44831</v>
      </c>
      <c r="E102" s="27" t="s">
        <v>54</v>
      </c>
      <c r="F102" s="27" t="s">
        <v>55</v>
      </c>
      <c r="G102" s="1" t="n">
        <v>531173199</v>
      </c>
      <c r="H102" s="4" t="n">
        <v>0.333333333333333</v>
      </c>
      <c r="I102" s="46"/>
      <c r="J102" s="6" t="n">
        <v>12</v>
      </c>
      <c r="K102" s="8" t="n">
        <v>15.58</v>
      </c>
      <c r="L102" s="8" t="n">
        <v>9</v>
      </c>
      <c r="M102" s="8" t="n">
        <v>100</v>
      </c>
      <c r="N102" s="8" t="n">
        <v>6.92</v>
      </c>
      <c r="O102" s="8" t="n">
        <v>129845</v>
      </c>
      <c r="P102" s="30" t="n">
        <f aca="false">(O102*1000)/24/60/60</f>
        <v>1502.83564814815</v>
      </c>
      <c r="Q102" s="29" t="s">
        <v>60</v>
      </c>
      <c r="R102" s="6" t="n">
        <v>4.7</v>
      </c>
      <c r="S102" s="9" t="n">
        <v>7516.6872050076</v>
      </c>
      <c r="T102" s="9" t="n">
        <v>16339.8832363581</v>
      </c>
      <c r="U102" s="9" t="n">
        <v>13707750.0639606</v>
      </c>
      <c r="V102" s="10" t="n">
        <f aca="false">S102/1000</f>
        <v>7.5166872050076</v>
      </c>
      <c r="W102" s="10" t="n">
        <f aca="false">T102/1000</f>
        <v>16.3398832363581</v>
      </c>
      <c r="X102" s="10" t="n">
        <f aca="false">U102/1000</f>
        <v>13707.7500639606</v>
      </c>
      <c r="AC102" s="33" t="n">
        <f aca="false">S102/U102</f>
        <v>0.000548353097330677</v>
      </c>
      <c r="AD102" s="33" t="n">
        <f aca="false">T102/U102</f>
        <v>0.00119201788478167</v>
      </c>
    </row>
    <row r="103" s="1" customFormat="true" ht="14.1" hidden="false" customHeight="true" outlineLevel="0" collapsed="false">
      <c r="A103" s="1" t="s">
        <v>29</v>
      </c>
      <c r="B103" s="2" t="n">
        <v>44832</v>
      </c>
      <c r="C103" s="26" t="s">
        <v>30</v>
      </c>
      <c r="D103" s="3" t="n">
        <v>44833</v>
      </c>
      <c r="E103" s="27" t="s">
        <v>31</v>
      </c>
      <c r="F103" s="27" t="s">
        <v>32</v>
      </c>
      <c r="G103" s="1" t="n">
        <v>531171355</v>
      </c>
      <c r="H103" s="4" t="n">
        <v>0.333333333333333</v>
      </c>
      <c r="I103" s="46"/>
      <c r="J103" s="29" t="n">
        <v>12</v>
      </c>
      <c r="K103" s="8" t="n">
        <v>19.49</v>
      </c>
      <c r="L103" s="8" t="n">
        <v>6</v>
      </c>
      <c r="M103" s="8" t="n">
        <v>1240</v>
      </c>
      <c r="N103" s="8" t="n">
        <v>8.02</v>
      </c>
      <c r="O103" s="8" t="n">
        <v>18408</v>
      </c>
      <c r="P103" s="30" t="n">
        <f aca="false">(O103*1000)/24/60/60</f>
        <v>213.055555555556</v>
      </c>
      <c r="Q103" s="29" t="s">
        <v>60</v>
      </c>
      <c r="R103" s="6" t="n">
        <v>28.6</v>
      </c>
      <c r="S103" s="9" t="n">
        <v>46986.7535758105</v>
      </c>
      <c r="T103" s="9" t="n">
        <v>44684.4240800164</v>
      </c>
      <c r="U103" s="9" t="n">
        <v>30084326.3171316</v>
      </c>
      <c r="V103" s="10" t="n">
        <f aca="false">S103/1000</f>
        <v>46.9867535758105</v>
      </c>
      <c r="W103" s="10" t="n">
        <f aca="false">T103/1000</f>
        <v>44.6844240800164</v>
      </c>
      <c r="X103" s="10" t="n">
        <f aca="false">U103/1000</f>
        <v>30084.3263171316</v>
      </c>
      <c r="AC103" s="33" t="n">
        <f aca="false">S103/U103</f>
        <v>0.00156183499276345</v>
      </c>
      <c r="AD103" s="33" t="n">
        <f aca="false">T103/U103</f>
        <v>0.00148530579042984</v>
      </c>
    </row>
    <row r="104" s="1" customFormat="true" ht="14.1" hidden="false" customHeight="true" outlineLevel="0" collapsed="false">
      <c r="A104" s="1" t="s">
        <v>29</v>
      </c>
      <c r="B104" s="2" t="n">
        <v>44832</v>
      </c>
      <c r="C104" s="26" t="s">
        <v>30</v>
      </c>
      <c r="D104" s="3" t="n">
        <v>44833</v>
      </c>
      <c r="E104" s="27" t="s">
        <v>35</v>
      </c>
      <c r="F104" s="27" t="s">
        <v>36</v>
      </c>
      <c r="G104" s="1" t="n">
        <v>531172193</v>
      </c>
      <c r="H104" s="4" t="n">
        <v>0.333333333333333</v>
      </c>
      <c r="I104" s="46"/>
      <c r="J104" s="29" t="n">
        <v>12</v>
      </c>
      <c r="K104" s="8" t="n">
        <v>18.38</v>
      </c>
      <c r="L104" s="8" t="n">
        <v>6</v>
      </c>
      <c r="M104" s="8" t="n">
        <v>540</v>
      </c>
      <c r="N104" s="8" t="n">
        <v>5.77</v>
      </c>
      <c r="O104" s="8" t="n">
        <v>21267</v>
      </c>
      <c r="P104" s="30" t="n">
        <f aca="false">(O104*1000)/24/60/60</f>
        <v>246.145833333333</v>
      </c>
      <c r="Q104" s="29" t="s">
        <v>60</v>
      </c>
      <c r="R104" s="6" t="n">
        <v>2.6</v>
      </c>
      <c r="S104" s="9" t="n">
        <v>23376.8924663433</v>
      </c>
      <c r="T104" s="9" t="n">
        <v>19562.6930792247</v>
      </c>
      <c r="U104" s="9" t="n">
        <v>12335544.9218908</v>
      </c>
      <c r="V104" s="10" t="n">
        <f aca="false">S104/1000</f>
        <v>23.3768924663433</v>
      </c>
      <c r="W104" s="10" t="n">
        <f aca="false">T104/1000</f>
        <v>19.5626930792247</v>
      </c>
      <c r="X104" s="10" t="n">
        <f aca="false">U104/1000</f>
        <v>12335.5449218908</v>
      </c>
      <c r="AC104" s="33" t="n">
        <f aca="false">S104/U104</f>
        <v>0.00189508389085093</v>
      </c>
      <c r="AD104" s="33" t="n">
        <f aca="false">T104/U104</f>
        <v>0.00158587992691823</v>
      </c>
    </row>
    <row r="105" s="1" customFormat="true" ht="14.1" hidden="false" customHeight="true" outlineLevel="0" collapsed="false">
      <c r="A105" s="1" t="s">
        <v>29</v>
      </c>
      <c r="B105" s="2" t="n">
        <v>44837</v>
      </c>
      <c r="C105" s="26" t="s">
        <v>30</v>
      </c>
      <c r="D105" s="3" t="n">
        <v>44838</v>
      </c>
      <c r="E105" s="27" t="s">
        <v>31</v>
      </c>
      <c r="F105" s="27" t="s">
        <v>32</v>
      </c>
      <c r="G105" s="1" t="n">
        <v>531171416</v>
      </c>
      <c r="H105" s="4" t="n">
        <v>0.333333333333333</v>
      </c>
      <c r="I105" s="46"/>
      <c r="J105" s="6" t="n">
        <v>12</v>
      </c>
      <c r="K105" s="8" t="n">
        <v>19.5</v>
      </c>
      <c r="L105" s="8" t="n">
        <v>8</v>
      </c>
      <c r="M105" s="8" t="n">
        <v>1300</v>
      </c>
      <c r="N105" s="8" t="n">
        <v>8</v>
      </c>
      <c r="O105" s="8" t="n">
        <v>15710</v>
      </c>
      <c r="P105" s="30" t="n">
        <f aca="false">(O105*1000)/24/60/60</f>
        <v>181.828703703704</v>
      </c>
      <c r="Q105" s="6" t="s">
        <v>63</v>
      </c>
      <c r="R105" s="6" t="n">
        <v>11.3</v>
      </c>
      <c r="S105" s="9" t="n">
        <v>26402.1338394342</v>
      </c>
      <c r="T105" s="9" t="n">
        <v>24052.4270515442</v>
      </c>
      <c r="U105" s="9" t="n">
        <v>36669101.0493746</v>
      </c>
      <c r="V105" s="10" t="n">
        <f aca="false">S105/1000</f>
        <v>26.4021338394342</v>
      </c>
      <c r="W105" s="10" t="n">
        <f aca="false">T105/1000</f>
        <v>24.0524270515442</v>
      </c>
      <c r="X105" s="10" t="n">
        <f aca="false">U105/1000</f>
        <v>36669.1010493746</v>
      </c>
      <c r="AC105" s="33" t="n">
        <f aca="false">S105/U105</f>
        <v>0.000720010392506866</v>
      </c>
      <c r="AD105" s="33" t="n">
        <f aca="false">T105/U105</f>
        <v>0.000655931734436516</v>
      </c>
    </row>
    <row r="106" s="1" customFormat="true" ht="14.1" hidden="false" customHeight="true" outlineLevel="0" collapsed="false">
      <c r="A106" s="1" t="s">
        <v>29</v>
      </c>
      <c r="B106" s="2" t="n">
        <v>44837</v>
      </c>
      <c r="C106" s="26" t="s">
        <v>30</v>
      </c>
      <c r="D106" s="3" t="n">
        <v>44838</v>
      </c>
      <c r="E106" s="27" t="s">
        <v>35</v>
      </c>
      <c r="F106" s="27" t="s">
        <v>36</v>
      </c>
      <c r="G106" s="1" t="n">
        <v>531172518</v>
      </c>
      <c r="H106" s="4" t="n">
        <v>0.333333333333333</v>
      </c>
      <c r="I106" s="46"/>
      <c r="J106" s="6" t="n">
        <v>12</v>
      </c>
      <c r="K106" s="8" t="n">
        <v>18.3</v>
      </c>
      <c r="L106" s="8" t="n">
        <v>8</v>
      </c>
      <c r="M106" s="8" t="n">
        <v>750</v>
      </c>
      <c r="N106" s="8" t="n">
        <v>6.33</v>
      </c>
      <c r="O106" s="8" t="n">
        <v>16863</v>
      </c>
      <c r="P106" s="30" t="n">
        <f aca="false">(O106*1000)/24/60/60</f>
        <v>195.173611111111</v>
      </c>
      <c r="Q106" s="6" t="s">
        <v>63</v>
      </c>
      <c r="R106" s="6" t="n">
        <v>4.3</v>
      </c>
      <c r="S106" s="9" t="n">
        <v>31524.7975081569</v>
      </c>
      <c r="T106" s="9" t="n">
        <v>35008.1279258262</v>
      </c>
      <c r="U106" s="9" t="n">
        <v>19366703.2134098</v>
      </c>
      <c r="V106" s="10" t="n">
        <f aca="false">S106/1000</f>
        <v>31.5247975081569</v>
      </c>
      <c r="W106" s="10" t="n">
        <f aca="false">T106/1000</f>
        <v>35.0081279258262</v>
      </c>
      <c r="X106" s="10" t="n">
        <f aca="false">U106/1000</f>
        <v>19366.7032134098</v>
      </c>
      <c r="AC106" s="33" t="n">
        <f aca="false">S106/U106</f>
        <v>0.00162778337442217</v>
      </c>
      <c r="AD106" s="33" t="n">
        <f aca="false">T106/U106</f>
        <v>0.0018076451908235</v>
      </c>
    </row>
    <row r="107" s="1" customFormat="true" ht="14.1" hidden="false" customHeight="true" outlineLevel="0" collapsed="false">
      <c r="A107" s="1" t="s">
        <v>29</v>
      </c>
      <c r="B107" s="2" t="n">
        <v>44839</v>
      </c>
      <c r="C107" s="26" t="s">
        <v>30</v>
      </c>
      <c r="D107" s="3" t="n">
        <v>44840</v>
      </c>
      <c r="E107" s="27" t="s">
        <v>31</v>
      </c>
      <c r="F107" s="27" t="s">
        <v>32</v>
      </c>
      <c r="G107" s="1" t="n">
        <v>531171928</v>
      </c>
      <c r="H107" s="4" t="n">
        <v>0.333333333333333</v>
      </c>
      <c r="I107" s="46" t="s">
        <v>38</v>
      </c>
      <c r="J107" s="6" t="n">
        <v>12</v>
      </c>
      <c r="K107" s="8" t="n">
        <v>20.2</v>
      </c>
      <c r="L107" s="8" t="n">
        <v>11</v>
      </c>
      <c r="M107" s="8" t="n">
        <v>1340</v>
      </c>
      <c r="N107" s="8" t="n">
        <v>7.92</v>
      </c>
      <c r="O107" s="8" t="n">
        <v>16012</v>
      </c>
      <c r="P107" s="30" t="n">
        <f aca="false">(O107*1000)/24/60/60</f>
        <v>185.324074074074</v>
      </c>
      <c r="Q107" s="6" t="s">
        <v>63</v>
      </c>
      <c r="R107" s="6" t="n">
        <v>21.1</v>
      </c>
      <c r="S107" s="9" t="n">
        <v>51472.0382967253</v>
      </c>
      <c r="T107" s="9" t="n">
        <v>10417.207944747</v>
      </c>
      <c r="U107" s="9" t="n">
        <v>29602747.8232704</v>
      </c>
      <c r="V107" s="10" t="n">
        <f aca="false">S107/1000</f>
        <v>51.4720382967253</v>
      </c>
      <c r="W107" s="10" t="n">
        <f aca="false">T107/1000</f>
        <v>10.417207944747</v>
      </c>
      <c r="X107" s="10" t="n">
        <f aca="false">U107/1000</f>
        <v>29602.7478232704</v>
      </c>
      <c r="AC107" s="33" t="n">
        <f aca="false">S107/U107</f>
        <v>0.00173875880050107</v>
      </c>
      <c r="AD107" s="33" t="n">
        <f aca="false">T107/U107</f>
        <v>0.000351900033298872</v>
      </c>
    </row>
    <row r="108" s="1" customFormat="true" ht="14.1" hidden="false" customHeight="true" outlineLevel="0" collapsed="false">
      <c r="A108" s="1" t="s">
        <v>29</v>
      </c>
      <c r="B108" s="2" t="n">
        <v>44839</v>
      </c>
      <c r="C108" s="26" t="s">
        <v>30</v>
      </c>
      <c r="D108" s="3" t="n">
        <v>44840</v>
      </c>
      <c r="E108" s="27" t="s">
        <v>35</v>
      </c>
      <c r="F108" s="27" t="s">
        <v>36</v>
      </c>
      <c r="G108" s="1" t="n">
        <v>531172132</v>
      </c>
      <c r="H108" s="4" t="n">
        <v>0.333333333333333</v>
      </c>
      <c r="I108" s="46" t="s">
        <v>38</v>
      </c>
      <c r="J108" s="6" t="n">
        <v>12</v>
      </c>
      <c r="K108" s="8" t="n">
        <v>18.9</v>
      </c>
      <c r="L108" s="8" t="n">
        <v>11</v>
      </c>
      <c r="M108" s="8" t="n">
        <v>770</v>
      </c>
      <c r="N108" s="8" t="n">
        <v>6.89</v>
      </c>
      <c r="O108" s="8" t="n">
        <v>18112</v>
      </c>
      <c r="P108" s="30" t="n">
        <f aca="false">(O108*1000)/24/60/60</f>
        <v>209.62962962963</v>
      </c>
      <c r="Q108" s="6" t="s">
        <v>63</v>
      </c>
      <c r="R108" s="6" t="n">
        <v>5.9</v>
      </c>
      <c r="S108" s="9" t="n">
        <v>90406.9415136159</v>
      </c>
      <c r="T108" s="9" t="n">
        <v>89012.4149004824</v>
      </c>
      <c r="U108" s="9" t="n">
        <v>41599213.3056669</v>
      </c>
      <c r="V108" s="10" t="n">
        <f aca="false">S108/1000</f>
        <v>90.4069415136159</v>
      </c>
      <c r="W108" s="10" t="n">
        <f aca="false">T108/1000</f>
        <v>89.0124149004824</v>
      </c>
      <c r="X108" s="10" t="n">
        <f aca="false">U108/1000</f>
        <v>41599.2133056669</v>
      </c>
      <c r="Y108" s="48" t="s">
        <v>64</v>
      </c>
      <c r="AC108" s="33" t="n">
        <f aca="false">S108/U108</f>
        <v>0.00217328488520479</v>
      </c>
      <c r="AD108" s="33" t="n">
        <f aca="false">T108/U108</f>
        <v>0.00213976197690153</v>
      </c>
    </row>
    <row r="109" s="1" customFormat="true" ht="14.1" hidden="false" customHeight="true" outlineLevel="0" collapsed="false">
      <c r="A109" s="1" t="s">
        <v>29</v>
      </c>
      <c r="B109" s="2" t="n">
        <v>44844</v>
      </c>
      <c r="C109" s="26" t="s">
        <v>30</v>
      </c>
      <c r="D109" s="3" t="n">
        <v>44845</v>
      </c>
      <c r="E109" s="27" t="s">
        <v>31</v>
      </c>
      <c r="F109" s="27" t="s">
        <v>32</v>
      </c>
      <c r="G109" s="1" t="n">
        <v>531171009</v>
      </c>
      <c r="H109" s="4" t="n">
        <v>0.333333333333333</v>
      </c>
      <c r="I109" s="46" t="s">
        <v>62</v>
      </c>
      <c r="J109" s="6" t="n">
        <v>12</v>
      </c>
      <c r="K109" s="8" t="n">
        <v>20.04</v>
      </c>
      <c r="L109" s="8" t="n">
        <v>7</v>
      </c>
      <c r="M109" s="8" t="n">
        <v>1400</v>
      </c>
      <c r="N109" s="8" t="n">
        <v>7.89</v>
      </c>
      <c r="O109" s="8" t="n">
        <v>15412</v>
      </c>
      <c r="P109" s="30" t="n">
        <f aca="false">(O109*1000)/24/60/60</f>
        <v>178.37962962963</v>
      </c>
      <c r="Q109" s="6" t="s">
        <v>63</v>
      </c>
      <c r="R109" s="6" t="n">
        <v>45.9</v>
      </c>
      <c r="S109" s="9" t="n">
        <v>20483.5080607399</v>
      </c>
      <c r="T109" s="9" t="n">
        <v>7331.78773772096</v>
      </c>
      <c r="U109" s="9" t="n">
        <v>3033083.40381973</v>
      </c>
      <c r="V109" s="10" t="n">
        <f aca="false">S109/1000</f>
        <v>20.4835080607399</v>
      </c>
      <c r="W109" s="10" t="n">
        <f aca="false">T109/1000</f>
        <v>7.33178773772096</v>
      </c>
      <c r="X109" s="10" t="n">
        <f aca="false">U109/1000</f>
        <v>3033.08340381973</v>
      </c>
      <c r="AC109" s="33" t="n">
        <f aca="false">S109/U109</f>
        <v>0.00675336129397033</v>
      </c>
      <c r="AD109" s="33" t="n">
        <f aca="false">T109/U109</f>
        <v>0.00241727205011495</v>
      </c>
    </row>
    <row r="110" s="1" customFormat="true" ht="14.1" hidden="false" customHeight="true" outlineLevel="0" collapsed="false">
      <c r="A110" s="1" t="s">
        <v>29</v>
      </c>
      <c r="B110" s="2" t="n">
        <v>44844</v>
      </c>
      <c r="C110" s="26" t="s">
        <v>30</v>
      </c>
      <c r="D110" s="3" t="n">
        <v>44845</v>
      </c>
      <c r="E110" s="27" t="s">
        <v>35</v>
      </c>
      <c r="F110" s="27" t="s">
        <v>36</v>
      </c>
      <c r="G110" s="1" t="n">
        <v>531172873</v>
      </c>
      <c r="H110" s="4" t="n">
        <v>0.333333333333333</v>
      </c>
      <c r="I110" s="46" t="s">
        <v>62</v>
      </c>
      <c r="J110" s="6" t="n">
        <v>12</v>
      </c>
      <c r="K110" s="8" t="n">
        <v>19.2</v>
      </c>
      <c r="L110" s="8" t="n">
        <v>7</v>
      </c>
      <c r="M110" s="8" t="n">
        <v>800</v>
      </c>
      <c r="N110" s="8" t="n">
        <v>6.88</v>
      </c>
      <c r="O110" s="8" t="n">
        <v>17688</v>
      </c>
      <c r="P110" s="30" t="n">
        <f aca="false">(O110*1000)/24/60/60</f>
        <v>204.722222222222</v>
      </c>
      <c r="Q110" s="6" t="s">
        <v>63</v>
      </c>
      <c r="R110" s="6" t="n">
        <v>5.2</v>
      </c>
      <c r="S110" s="9" t="n">
        <v>33177.8027005298</v>
      </c>
      <c r="T110" s="9" t="n">
        <v>33658.1352414637</v>
      </c>
      <c r="U110" s="9" t="n">
        <v>30951406.140329</v>
      </c>
      <c r="V110" s="10" t="n">
        <f aca="false">S110/1000</f>
        <v>33.1778027005298</v>
      </c>
      <c r="W110" s="10" t="n">
        <f aca="false">T110/1000</f>
        <v>33.6581352414637</v>
      </c>
      <c r="X110" s="10" t="n">
        <f aca="false">U110/1000</f>
        <v>30951.406140329</v>
      </c>
      <c r="AC110" s="33" t="n">
        <f aca="false">S110/U110</f>
        <v>0.0010719320004431</v>
      </c>
      <c r="AD110" s="33" t="n">
        <f aca="false">T110/U110</f>
        <v>0.00108745092513286</v>
      </c>
    </row>
    <row r="111" s="49" customFormat="true" ht="14.25" hidden="false" customHeight="false" outlineLevel="0" collapsed="false">
      <c r="A111" s="49" t="s">
        <v>29</v>
      </c>
      <c r="B111" s="2" t="n">
        <v>44846</v>
      </c>
      <c r="C111" s="25" t="s">
        <v>30</v>
      </c>
      <c r="D111" s="2" t="n">
        <v>44847</v>
      </c>
      <c r="E111" s="50" t="s">
        <v>31</v>
      </c>
      <c r="F111" s="50" t="s">
        <v>32</v>
      </c>
      <c r="G111" s="49" t="n">
        <v>531171098</v>
      </c>
      <c r="H111" s="51" t="n">
        <v>0.333333333333333</v>
      </c>
      <c r="I111" s="52"/>
      <c r="J111" s="53" t="n">
        <v>12</v>
      </c>
      <c r="K111" s="54" t="n">
        <v>20.16</v>
      </c>
      <c r="L111" s="54" t="n">
        <v>9</v>
      </c>
      <c r="M111" s="54" t="n">
        <v>1460</v>
      </c>
      <c r="N111" s="54" t="n">
        <v>7.89</v>
      </c>
      <c r="O111" s="54" t="n">
        <v>15790</v>
      </c>
      <c r="P111" s="55" t="n">
        <f aca="false">(O111*1000)/24/60/60</f>
        <v>182.75462962963</v>
      </c>
      <c r="Q111" s="53" t="s">
        <v>63</v>
      </c>
      <c r="R111" s="53" t="n">
        <v>18.9</v>
      </c>
      <c r="S111" s="33" t="n">
        <v>116435.681775127</v>
      </c>
      <c r="T111" s="33" t="n">
        <v>76277.9834783462</v>
      </c>
      <c r="U111" s="33" t="n">
        <v>72113224.3753714</v>
      </c>
      <c r="V111" s="56" t="n">
        <f aca="false">S111/1000</f>
        <v>116.435681775127</v>
      </c>
      <c r="W111" s="56" t="n">
        <f aca="false">T111/1000</f>
        <v>76.2779834783462</v>
      </c>
      <c r="X111" s="56" t="n">
        <f aca="false">U111/1000</f>
        <v>72113.2243753714</v>
      </c>
      <c r="AC111" s="33" t="n">
        <f aca="false">S111/U111</f>
        <v>0.00161462315384822</v>
      </c>
      <c r="AD111" s="33" t="n">
        <f aca="false">T111/U111</f>
        <v>0.00105775305623967</v>
      </c>
    </row>
    <row r="112" s="49" customFormat="true" ht="14.25" hidden="false" customHeight="false" outlineLevel="0" collapsed="false">
      <c r="A112" s="49" t="s">
        <v>29</v>
      </c>
      <c r="B112" s="2" t="n">
        <v>44846</v>
      </c>
      <c r="C112" s="25" t="s">
        <v>30</v>
      </c>
      <c r="D112" s="2" t="n">
        <v>44847</v>
      </c>
      <c r="E112" s="50" t="s">
        <v>35</v>
      </c>
      <c r="F112" s="50" t="s">
        <v>36</v>
      </c>
      <c r="G112" s="49" t="n">
        <v>531172667</v>
      </c>
      <c r="H112" s="51" t="n">
        <v>0.333333333333333</v>
      </c>
      <c r="I112" s="52"/>
      <c r="J112" s="53" t="n">
        <v>12</v>
      </c>
      <c r="K112" s="54" t="n">
        <v>18.91</v>
      </c>
      <c r="L112" s="54" t="n">
        <v>9</v>
      </c>
      <c r="M112" s="54" t="n">
        <v>790</v>
      </c>
      <c r="N112" s="54" t="n">
        <v>6.9</v>
      </c>
      <c r="O112" s="54" t="n">
        <v>18140</v>
      </c>
      <c r="P112" s="55" t="n">
        <f aca="false">(O112*1000)/24/60/60</f>
        <v>209.953703703704</v>
      </c>
      <c r="Q112" s="53" t="s">
        <v>63</v>
      </c>
      <c r="R112" s="53" t="n">
        <v>6.4</v>
      </c>
      <c r="S112" s="33" t="n">
        <v>31541.0291412244</v>
      </c>
      <c r="T112" s="33" t="n">
        <v>34200.6724845088</v>
      </c>
      <c r="U112" s="33" t="n">
        <v>9235204.16066574</v>
      </c>
      <c r="V112" s="56" t="n">
        <f aca="false">S112/1000</f>
        <v>31.5410291412244</v>
      </c>
      <c r="W112" s="56" t="n">
        <f aca="false">T112/1000</f>
        <v>34.2006724845088</v>
      </c>
      <c r="X112" s="56" t="n">
        <f aca="false">U112/1000</f>
        <v>9235.20416066574</v>
      </c>
      <c r="AC112" s="33" t="n">
        <f aca="false">S112/U112</f>
        <v>0.00341530393833229</v>
      </c>
      <c r="AD112" s="33" t="n">
        <f aca="false">T112/U112</f>
        <v>0.00370329360234125</v>
      </c>
    </row>
    <row r="113" s="1" customFormat="true" ht="14.25" hidden="false" customHeight="false" outlineLevel="0" collapsed="false">
      <c r="A113" s="1" t="s">
        <v>29</v>
      </c>
      <c r="B113" s="2" t="n">
        <v>44851</v>
      </c>
      <c r="C113" s="26" t="s">
        <v>30</v>
      </c>
      <c r="D113" s="3" t="n">
        <v>44852</v>
      </c>
      <c r="E113" s="27" t="s">
        <v>31</v>
      </c>
      <c r="F113" s="27" t="s">
        <v>32</v>
      </c>
      <c r="G113" s="1" t="s">
        <v>65</v>
      </c>
      <c r="H113" s="4" t="n">
        <v>0.333333333333333</v>
      </c>
      <c r="I113" s="5"/>
      <c r="J113" s="6" t="n">
        <v>12</v>
      </c>
      <c r="K113" s="7" t="n">
        <v>16.77</v>
      </c>
      <c r="L113" s="7" t="n">
        <v>15</v>
      </c>
      <c r="M113" s="7" t="n">
        <v>120</v>
      </c>
      <c r="N113" s="7" t="n">
        <v>7.03</v>
      </c>
      <c r="O113" s="8" t="n">
        <v>37042</v>
      </c>
      <c r="P113" s="30" t="n">
        <f aca="false">(O113*1000)/24/60/60</f>
        <v>428.726851851852</v>
      </c>
      <c r="Q113" s="6" t="s">
        <v>63</v>
      </c>
      <c r="R113" s="6" t="n">
        <v>23.7</v>
      </c>
      <c r="S113" s="9" t="n">
        <v>37683.6063019355</v>
      </c>
      <c r="T113" s="9" t="n">
        <v>34200.6724845088</v>
      </c>
      <c r="U113" s="9" t="n">
        <v>43638370.9555068</v>
      </c>
      <c r="V113" s="10" t="n">
        <f aca="false">S113/1000</f>
        <v>37.6836063019355</v>
      </c>
      <c r="W113" s="10" t="n">
        <f aca="false">T113/1000</f>
        <v>34.2006724845088</v>
      </c>
      <c r="X113" s="10" t="n">
        <f aca="false">U113/1000</f>
        <v>43638.3709555068</v>
      </c>
      <c r="AC113" s="33" t="n">
        <f aca="false">S113/U113</f>
        <v>0.000863542920526464</v>
      </c>
      <c r="AD113" s="33" t="n">
        <f aca="false">T113/U113</f>
        <v>0.000783729358719175</v>
      </c>
    </row>
    <row r="114" s="1" customFormat="true" ht="14.25" hidden="false" customHeight="false" outlineLevel="0" collapsed="false">
      <c r="A114" s="1" t="s">
        <v>29</v>
      </c>
      <c r="B114" s="2" t="n">
        <v>44851</v>
      </c>
      <c r="C114" s="26" t="s">
        <v>30</v>
      </c>
      <c r="D114" s="3" t="n">
        <v>44852</v>
      </c>
      <c r="E114" s="27" t="s">
        <v>35</v>
      </c>
      <c r="F114" s="27" t="s">
        <v>36</v>
      </c>
      <c r="G114" s="1" t="n">
        <v>531172005</v>
      </c>
      <c r="H114" s="4" t="n">
        <v>0.333333333333333</v>
      </c>
      <c r="I114" s="5"/>
      <c r="J114" s="6" t="n">
        <v>12</v>
      </c>
      <c r="K114" s="7" t="n">
        <v>17.24</v>
      </c>
      <c r="L114" s="7" t="n">
        <v>15</v>
      </c>
      <c r="M114" s="7" t="n">
        <v>100</v>
      </c>
      <c r="N114" s="7" t="n">
        <v>6.7</v>
      </c>
      <c r="O114" s="8" t="n">
        <v>46607</v>
      </c>
      <c r="P114" s="30" t="n">
        <f aca="false">(O114*1000)/24/60/60</f>
        <v>539.43287037037</v>
      </c>
      <c r="Q114" s="6" t="s">
        <v>63</v>
      </c>
      <c r="R114" s="6" t="n">
        <v>12.5</v>
      </c>
      <c r="S114" s="9" t="n">
        <v>45830.7237816727</v>
      </c>
      <c r="T114" s="9" t="n">
        <v>45134.7168025564</v>
      </c>
      <c r="U114" s="9" t="n">
        <v>53677399.437147</v>
      </c>
      <c r="V114" s="10" t="n">
        <f aca="false">S114/1000</f>
        <v>45.8307237816727</v>
      </c>
      <c r="W114" s="10" t="n">
        <f aca="false">T114/1000</f>
        <v>45.1347168025564</v>
      </c>
      <c r="X114" s="10" t="n">
        <f aca="false">U114/1000</f>
        <v>53677.399437147</v>
      </c>
      <c r="AC114" s="33" t="n">
        <f aca="false">S114/U114</f>
        <v>0.000853817887271862</v>
      </c>
      <c r="AD114" s="33" t="n">
        <f aca="false">T114/U114</f>
        <v>0.000840851406287044</v>
      </c>
    </row>
    <row r="115" s="49" customFormat="true" ht="14.25" hidden="false" customHeight="false" outlineLevel="0" collapsed="false">
      <c r="A115" s="49" t="s">
        <v>29</v>
      </c>
      <c r="B115" s="2" t="n">
        <v>44853</v>
      </c>
      <c r="C115" s="25" t="s">
        <v>30</v>
      </c>
      <c r="D115" s="2" t="n">
        <v>44854</v>
      </c>
      <c r="E115" s="50" t="s">
        <v>31</v>
      </c>
      <c r="F115" s="50" t="s">
        <v>32</v>
      </c>
      <c r="G115" s="49" t="n">
        <v>531171529</v>
      </c>
      <c r="H115" s="51" t="n">
        <v>0.333333333333333</v>
      </c>
      <c r="I115" s="52"/>
      <c r="J115" s="53" t="n">
        <v>12</v>
      </c>
      <c r="K115" s="54" t="n">
        <v>19.46</v>
      </c>
      <c r="L115" s="54" t="n">
        <v>11</v>
      </c>
      <c r="M115" s="54" t="n">
        <v>1240</v>
      </c>
      <c r="N115" s="54" t="n">
        <v>7.98</v>
      </c>
      <c r="O115" s="54" t="n">
        <v>16961</v>
      </c>
      <c r="P115" s="55" t="n">
        <f aca="false">(O115*1000)/24/60/60</f>
        <v>196.30787037037</v>
      </c>
      <c r="Q115" s="53" t="s">
        <v>63</v>
      </c>
      <c r="R115" s="53" t="n">
        <v>18.6</v>
      </c>
      <c r="S115" s="33" t="n">
        <v>62684.9853544987</v>
      </c>
      <c r="T115" s="33" t="n">
        <v>68084.3910767109</v>
      </c>
      <c r="U115" s="33" t="n">
        <v>48770867.1580946</v>
      </c>
      <c r="V115" s="56" t="n">
        <f aca="false">S115/1000</f>
        <v>62.6849853544987</v>
      </c>
      <c r="W115" s="56" t="n">
        <f aca="false">T115/1000</f>
        <v>68.0843910767109</v>
      </c>
      <c r="X115" s="56" t="n">
        <f aca="false">U115/1000</f>
        <v>48770.8671580946</v>
      </c>
      <c r="AC115" s="33" t="n">
        <f aca="false">S115/U115</f>
        <v>0.00128529568997205</v>
      </c>
      <c r="AD115" s="33" t="n">
        <f aca="false">T115/U115</f>
        <v>0.00139600534179575</v>
      </c>
    </row>
    <row r="116" s="49" customFormat="true" ht="14.25" hidden="false" customHeight="false" outlineLevel="0" collapsed="false">
      <c r="A116" s="49" t="s">
        <v>29</v>
      </c>
      <c r="B116" s="2" t="n">
        <v>44853</v>
      </c>
      <c r="C116" s="25" t="s">
        <v>30</v>
      </c>
      <c r="D116" s="2" t="n">
        <v>44854</v>
      </c>
      <c r="E116" s="50" t="s">
        <v>35</v>
      </c>
      <c r="F116" s="50" t="s">
        <v>36</v>
      </c>
      <c r="G116" s="49" t="n">
        <v>531172080</v>
      </c>
      <c r="H116" s="51" t="n">
        <v>0.333333333333333</v>
      </c>
      <c r="I116" s="52"/>
      <c r="J116" s="53" t="n">
        <v>12</v>
      </c>
      <c r="K116" s="54" t="n">
        <v>18.62</v>
      </c>
      <c r="L116" s="54" t="n">
        <v>11</v>
      </c>
      <c r="M116" s="54" t="n">
        <v>710</v>
      </c>
      <c r="N116" s="54" t="n">
        <v>6.83</v>
      </c>
      <c r="O116" s="54" t="n">
        <v>18981</v>
      </c>
      <c r="P116" s="55" t="n">
        <f aca="false">(O116*1000)/24/60/60</f>
        <v>219.6875</v>
      </c>
      <c r="Q116" s="53" t="s">
        <v>63</v>
      </c>
      <c r="R116" s="53" t="n">
        <v>6.9</v>
      </c>
      <c r="S116" s="33" t="n">
        <v>53790.509050223</v>
      </c>
      <c r="T116" s="33" t="n">
        <v>63469.5850261172</v>
      </c>
      <c r="U116" s="33" t="n">
        <v>40728106.2839778</v>
      </c>
      <c r="V116" s="56" t="n">
        <f aca="false">S116/1000</f>
        <v>53.790509050223</v>
      </c>
      <c r="W116" s="56" t="n">
        <f aca="false">T116/1000</f>
        <v>63.4695850261172</v>
      </c>
      <c r="X116" s="56" t="n">
        <f aca="false">U116/1000</f>
        <v>40728.1062839778</v>
      </c>
      <c r="AC116" s="33" t="n">
        <f aca="false">S116/U116</f>
        <v>0.0013207220751971</v>
      </c>
      <c r="AD116" s="33" t="n">
        <f aca="false">T116/U116</f>
        <v>0.0015583730945793</v>
      </c>
    </row>
    <row r="117" s="1" customFormat="true" ht="14.25" hidden="false" customHeight="false" outlineLevel="0" collapsed="false">
      <c r="A117" s="1" t="s">
        <v>29</v>
      </c>
      <c r="B117" s="2" t="n">
        <v>44858</v>
      </c>
      <c r="C117" s="26" t="s">
        <v>30</v>
      </c>
      <c r="D117" s="3" t="n">
        <v>44859</v>
      </c>
      <c r="E117" s="27" t="s">
        <v>31</v>
      </c>
      <c r="F117" s="27" t="s">
        <v>32</v>
      </c>
      <c r="G117" s="1" t="n">
        <v>531171640</v>
      </c>
      <c r="H117" s="4" t="n">
        <v>0.333333333333333</v>
      </c>
      <c r="I117" s="5"/>
      <c r="J117" s="6" t="n">
        <v>12</v>
      </c>
      <c r="K117" s="7" t="n">
        <v>19</v>
      </c>
      <c r="L117" s="7" t="n">
        <v>12</v>
      </c>
      <c r="M117" s="7" t="n">
        <v>920</v>
      </c>
      <c r="N117" s="7" t="n">
        <v>7.84</v>
      </c>
      <c r="O117" s="8" t="n">
        <v>17576</v>
      </c>
      <c r="P117" s="30" t="n">
        <f aca="false">(O117*1000)/24/60/60</f>
        <v>203.425925925926</v>
      </c>
      <c r="Q117" s="6" t="s">
        <v>63</v>
      </c>
      <c r="R117" s="6" t="n">
        <v>24.8</v>
      </c>
      <c r="S117" s="9" t="n">
        <v>18363.4806261757</v>
      </c>
      <c r="T117" s="9" t="n">
        <v>11934.5531708342</v>
      </c>
      <c r="U117" s="9" t="n">
        <v>12502602.6059171</v>
      </c>
      <c r="V117" s="10" t="n">
        <f aca="false">S117/1000</f>
        <v>18.3634806261757</v>
      </c>
      <c r="W117" s="10" t="n">
        <f aca="false">T117/1000</f>
        <v>11.9345531708342</v>
      </c>
      <c r="X117" s="10" t="n">
        <f aca="false">U117/1000</f>
        <v>12502.6026059171</v>
      </c>
      <c r="AC117" s="33" t="n">
        <f aca="false">S117/U117</f>
        <v>0.00146877263918513</v>
      </c>
      <c r="AD117" s="33" t="n">
        <f aca="false">T117/U117</f>
        <v>0.000954565505040202</v>
      </c>
    </row>
    <row r="118" s="1" customFormat="true" ht="14.25" hidden="false" customHeight="false" outlineLevel="0" collapsed="false">
      <c r="A118" s="1" t="s">
        <v>29</v>
      </c>
      <c r="B118" s="2" t="n">
        <v>44858</v>
      </c>
      <c r="C118" s="26" t="s">
        <v>30</v>
      </c>
      <c r="D118" s="3" t="n">
        <v>44859</v>
      </c>
      <c r="E118" s="27" t="s">
        <v>35</v>
      </c>
      <c r="F118" s="27" t="s">
        <v>36</v>
      </c>
      <c r="G118" s="1" t="n">
        <v>531172510</v>
      </c>
      <c r="H118" s="4" t="n">
        <v>0.333333333333333</v>
      </c>
      <c r="I118" s="5"/>
      <c r="J118" s="6" t="n">
        <v>12</v>
      </c>
      <c r="K118" s="7" t="n">
        <v>18.8</v>
      </c>
      <c r="L118" s="7" t="n">
        <v>12</v>
      </c>
      <c r="M118" s="7" t="n">
        <v>983</v>
      </c>
      <c r="N118" s="7" t="n">
        <v>7.47</v>
      </c>
      <c r="O118" s="8" t="n">
        <v>17854</v>
      </c>
      <c r="P118" s="30" t="n">
        <f aca="false">(O118*1000)/24/60/60</f>
        <v>206.643518518519</v>
      </c>
      <c r="Q118" s="6" t="s">
        <v>63</v>
      </c>
      <c r="R118" s="6" t="n">
        <v>4.9</v>
      </c>
      <c r="S118" s="9" t="n">
        <v>15152.9180702946</v>
      </c>
      <c r="T118" s="9" t="n">
        <v>13193.2482195461</v>
      </c>
      <c r="U118" s="9" t="n">
        <v>7952472.15626285</v>
      </c>
      <c r="V118" s="10" t="n">
        <f aca="false">S118/1000</f>
        <v>15.1529180702946</v>
      </c>
      <c r="W118" s="10" t="n">
        <f aca="false">T118/1000</f>
        <v>13.1932482195461</v>
      </c>
      <c r="X118" s="10" t="n">
        <f aca="false">U118/1000</f>
        <v>7952.47215626285</v>
      </c>
      <c r="AC118" s="33" t="n">
        <f aca="false">S118/U118</f>
        <v>0.00190543491037076</v>
      </c>
      <c r="AD118" s="33" t="n">
        <f aca="false">T118/U118</f>
        <v>0.00165901218643764</v>
      </c>
    </row>
    <row r="119" s="1" customFormat="true" ht="14.25" hidden="false" customHeight="false" outlineLevel="0" collapsed="false">
      <c r="A119" s="1" t="s">
        <v>29</v>
      </c>
      <c r="B119" s="2" t="n">
        <v>44860</v>
      </c>
      <c r="C119" s="26" t="s">
        <v>30</v>
      </c>
      <c r="D119" s="3" t="n">
        <v>44861</v>
      </c>
      <c r="E119" s="27" t="s">
        <v>31</v>
      </c>
      <c r="F119" s="27" t="s">
        <v>32</v>
      </c>
      <c r="G119" s="1" t="n">
        <v>531171438</v>
      </c>
      <c r="H119" s="4" t="n">
        <v>0.333333333333333</v>
      </c>
      <c r="I119" s="5"/>
      <c r="J119" s="6" t="n">
        <v>12</v>
      </c>
      <c r="K119" s="7" t="n">
        <v>18.6</v>
      </c>
      <c r="L119" s="7" t="n">
        <v>11</v>
      </c>
      <c r="M119" s="7" t="n">
        <v>1100</v>
      </c>
      <c r="N119" s="7" t="n">
        <v>7.63</v>
      </c>
      <c r="O119" s="8" t="n">
        <v>17711</v>
      </c>
      <c r="P119" s="30" t="n">
        <f aca="false">(O119*1000)/24/60/60</f>
        <v>204.988425925926</v>
      </c>
      <c r="Q119" s="6" t="s">
        <v>63</v>
      </c>
      <c r="R119" s="6" t="n">
        <v>13.1</v>
      </c>
      <c r="S119" s="9" t="n">
        <v>30765.0153362658</v>
      </c>
      <c r="T119" s="9" t="n">
        <v>18490.7765913871</v>
      </c>
      <c r="U119" s="9" t="n">
        <v>56855182.8561966</v>
      </c>
      <c r="V119" s="10" t="n">
        <f aca="false">S119/1000</f>
        <v>30.7650153362658</v>
      </c>
      <c r="W119" s="10" t="n">
        <f aca="false">T119/1000</f>
        <v>18.4907765913871</v>
      </c>
      <c r="X119" s="10" t="n">
        <f aca="false">U119/1000</f>
        <v>56855.1828561966</v>
      </c>
      <c r="AC119" s="33" t="n">
        <f aca="false">S119/U119</f>
        <v>0.000541111887971225</v>
      </c>
      <c r="AD119" s="33" t="n">
        <f aca="false">T119/U119</f>
        <v>0.000325225874977056</v>
      </c>
    </row>
    <row r="120" s="1" customFormat="true" ht="14.25" hidden="false" customHeight="false" outlineLevel="0" collapsed="false">
      <c r="A120" s="1" t="s">
        <v>29</v>
      </c>
      <c r="B120" s="2" t="n">
        <v>44860</v>
      </c>
      <c r="C120" s="26" t="s">
        <v>30</v>
      </c>
      <c r="D120" s="3" t="n">
        <v>44861</v>
      </c>
      <c r="E120" s="27" t="s">
        <v>35</v>
      </c>
      <c r="F120" s="27" t="s">
        <v>36</v>
      </c>
      <c r="G120" s="1" t="n">
        <v>531172474</v>
      </c>
      <c r="H120" s="4" t="n">
        <v>0.333333333333333</v>
      </c>
      <c r="I120" s="5"/>
      <c r="J120" s="6" t="n">
        <v>12</v>
      </c>
      <c r="K120" s="7" t="n">
        <v>18.8</v>
      </c>
      <c r="L120" s="7" t="n">
        <v>11</v>
      </c>
      <c r="M120" s="7" t="n">
        <v>700</v>
      </c>
      <c r="N120" s="7" t="n">
        <v>6.33</v>
      </c>
      <c r="O120" s="8" t="n">
        <v>22955</v>
      </c>
      <c r="P120" s="30" t="n">
        <f aca="false">(O120*1000)/24/60/60</f>
        <v>265.68287037037</v>
      </c>
      <c r="Q120" s="6" t="s">
        <v>63</v>
      </c>
      <c r="R120" s="6" t="n">
        <v>3</v>
      </c>
      <c r="S120" s="9" t="n">
        <v>32107.2802993701</v>
      </c>
      <c r="T120" s="9" t="n">
        <v>38061.2680644207</v>
      </c>
      <c r="U120" s="9" t="n">
        <v>44143244.3105845</v>
      </c>
      <c r="V120" s="10" t="n">
        <f aca="false">S120/1000</f>
        <v>32.1072802993701</v>
      </c>
      <c r="W120" s="10" t="n">
        <f aca="false">T120/1000</f>
        <v>38.0612680644207</v>
      </c>
      <c r="X120" s="10" t="n">
        <f aca="false">U120/1000</f>
        <v>44143.2443105845</v>
      </c>
      <c r="AC120" s="33" t="n">
        <f aca="false">S120/U120</f>
        <v>0.000727343012522339</v>
      </c>
      <c r="AD120" s="33" t="n">
        <f aca="false">T120/U120</f>
        <v>0.000862221811261265</v>
      </c>
    </row>
    <row r="121" s="1" customFormat="true" ht="14.25" hidden="false" customHeight="false" outlineLevel="0" collapsed="false">
      <c r="A121" s="1" t="s">
        <v>29</v>
      </c>
      <c r="B121" s="2" t="n">
        <v>44866</v>
      </c>
      <c r="C121" s="26" t="s">
        <v>30</v>
      </c>
      <c r="D121" s="3" t="n">
        <v>44867</v>
      </c>
      <c r="E121" s="27" t="s">
        <v>31</v>
      </c>
      <c r="F121" s="27" t="s">
        <v>32</v>
      </c>
      <c r="G121" s="1" t="n">
        <v>531171129</v>
      </c>
      <c r="H121" s="4" t="n">
        <v>0.333333333333333</v>
      </c>
      <c r="I121" s="5" t="s">
        <v>38</v>
      </c>
      <c r="J121" s="6" t="n">
        <v>12</v>
      </c>
      <c r="K121" s="7" t="n">
        <v>19.5</v>
      </c>
      <c r="L121" s="7" t="n">
        <v>11</v>
      </c>
      <c r="M121" s="7" t="n">
        <v>1350</v>
      </c>
      <c r="N121" s="7" t="n">
        <v>7.88</v>
      </c>
      <c r="O121" s="8" t="n">
        <v>17364</v>
      </c>
      <c r="P121" s="30" t="n">
        <f aca="false">(O121*1000)/24/60/60</f>
        <v>200.972222222222</v>
      </c>
      <c r="Q121" s="6" t="s">
        <v>63</v>
      </c>
      <c r="R121" s="6" t="n">
        <v>31.2</v>
      </c>
      <c r="S121" s="9" t="n">
        <v>19028.7526456594</v>
      </c>
      <c r="T121" s="9" t="n">
        <v>9226.54706470955</v>
      </c>
      <c r="U121" s="9" t="n">
        <v>34405167.4531588</v>
      </c>
      <c r="V121" s="10" t="n">
        <f aca="false">S121/1000</f>
        <v>19.0287526456594</v>
      </c>
      <c r="W121" s="10" t="n">
        <f aca="false">T121/1000</f>
        <v>9.22654706470955</v>
      </c>
      <c r="X121" s="10" t="n">
        <f aca="false">U121/1000</f>
        <v>34405.1674531588</v>
      </c>
      <c r="AC121" s="33" t="n">
        <f aca="false">S121/U121</f>
        <v>0.000553078332537292</v>
      </c>
      <c r="AD121" s="33" t="n">
        <f aca="false">T121/U121</f>
        <v>0.000268173293365629</v>
      </c>
    </row>
    <row r="122" s="1" customFormat="true" ht="14.25" hidden="false" customHeight="false" outlineLevel="0" collapsed="false">
      <c r="A122" s="1" t="s">
        <v>29</v>
      </c>
      <c r="B122" s="2" t="n">
        <v>44866</v>
      </c>
      <c r="C122" s="26" t="s">
        <v>30</v>
      </c>
      <c r="D122" s="3" t="n">
        <v>44867</v>
      </c>
      <c r="E122" s="27" t="s">
        <v>35</v>
      </c>
      <c r="F122" s="27" t="s">
        <v>36</v>
      </c>
      <c r="G122" s="1" t="n">
        <v>531172640</v>
      </c>
      <c r="H122" s="4" t="n">
        <v>0.333333333333333</v>
      </c>
      <c r="I122" s="5" t="s">
        <v>38</v>
      </c>
      <c r="J122" s="6" t="n">
        <v>12</v>
      </c>
      <c r="K122" s="7" t="n">
        <v>18.8</v>
      </c>
      <c r="L122" s="7" t="n">
        <v>11</v>
      </c>
      <c r="M122" s="7" t="n">
        <v>790</v>
      </c>
      <c r="N122" s="7" t="n">
        <v>7.24</v>
      </c>
      <c r="O122" s="8" t="n">
        <v>18638</v>
      </c>
      <c r="P122" s="30" t="n">
        <f aca="false">(O122*1000)/24/60/60</f>
        <v>215.717592592593</v>
      </c>
      <c r="Q122" s="6" t="s">
        <v>63</v>
      </c>
      <c r="R122" s="6" t="n">
        <v>9.9</v>
      </c>
      <c r="S122" s="9" t="n">
        <v>37952.7737780322</v>
      </c>
      <c r="T122" s="9" t="n">
        <v>38444.8180904736</v>
      </c>
      <c r="U122" s="9" t="n">
        <v>32606960.8362547</v>
      </c>
      <c r="V122" s="10" t="n">
        <f aca="false">S122/1000</f>
        <v>37.9527737780322</v>
      </c>
      <c r="W122" s="10" t="n">
        <f aca="false">T122/1000</f>
        <v>38.4448180904736</v>
      </c>
      <c r="X122" s="10" t="n">
        <f aca="false">U122/1000</f>
        <v>32606.9608362547</v>
      </c>
      <c r="AC122" s="33" t="n">
        <f aca="false">S122/U122</f>
        <v>0.00116394698569496</v>
      </c>
      <c r="AD122" s="33" t="n">
        <f aca="false">T122/U122</f>
        <v>0.00117903714742185</v>
      </c>
    </row>
    <row r="123" s="49" customFormat="true" ht="14.25" hidden="false" customHeight="false" outlineLevel="0" collapsed="false">
      <c r="A123" s="49" t="s">
        <v>29</v>
      </c>
      <c r="B123" s="2" t="n">
        <v>44867</v>
      </c>
      <c r="C123" s="25" t="s">
        <v>30</v>
      </c>
      <c r="D123" s="2" t="n">
        <v>44868</v>
      </c>
      <c r="E123" s="50" t="s">
        <v>31</v>
      </c>
      <c r="F123" s="50" t="s">
        <v>32</v>
      </c>
      <c r="G123" s="49" t="n">
        <v>531171126</v>
      </c>
      <c r="H123" s="51" t="n">
        <v>0.333333333333333</v>
      </c>
      <c r="I123" s="52" t="s">
        <v>38</v>
      </c>
      <c r="J123" s="53" t="n">
        <v>12</v>
      </c>
      <c r="K123" s="54" t="n">
        <v>19.5</v>
      </c>
      <c r="L123" s="54" t="n">
        <v>10</v>
      </c>
      <c r="M123" s="54" t="n">
        <v>1320</v>
      </c>
      <c r="N123" s="54" t="n">
        <v>7.89</v>
      </c>
      <c r="O123" s="54" t="n">
        <v>16853</v>
      </c>
      <c r="P123" s="55" t="n">
        <f aca="false">(O123*1000)/24/60/60</f>
        <v>195.05787037037</v>
      </c>
      <c r="Q123" s="53" t="s">
        <v>63</v>
      </c>
      <c r="R123" s="53" t="n">
        <v>10.4</v>
      </c>
      <c r="S123" s="33" t="n">
        <v>48000.8172277343</v>
      </c>
      <c r="T123" s="33" t="n">
        <v>42784.4957637071</v>
      </c>
      <c r="U123" s="33" t="n">
        <v>94315198.890168</v>
      </c>
      <c r="V123" s="56" t="n">
        <f aca="false">S123/1000</f>
        <v>48.0008172277343</v>
      </c>
      <c r="W123" s="56" t="n">
        <f aca="false">T123/1000</f>
        <v>42.7844957637071</v>
      </c>
      <c r="X123" s="56" t="n">
        <f aca="false">U123/1000</f>
        <v>94315.198890168</v>
      </c>
      <c r="AC123" s="33" t="n">
        <f aca="false">S123/U123</f>
        <v>0.000508940423098002</v>
      </c>
      <c r="AD123" s="33" t="n">
        <f aca="false">T123/U123</f>
        <v>0.000453633096968078</v>
      </c>
    </row>
    <row r="124" s="49" customFormat="true" ht="14.25" hidden="false" customHeight="false" outlineLevel="0" collapsed="false">
      <c r="A124" s="49" t="s">
        <v>29</v>
      </c>
      <c r="B124" s="2" t="n">
        <v>44867</v>
      </c>
      <c r="C124" s="25" t="s">
        <v>30</v>
      </c>
      <c r="D124" s="2" t="n">
        <v>44868</v>
      </c>
      <c r="E124" s="50" t="s">
        <v>35</v>
      </c>
      <c r="F124" s="50" t="s">
        <v>36</v>
      </c>
      <c r="G124" s="57" t="n">
        <v>53117204</v>
      </c>
      <c r="H124" s="51" t="n">
        <v>0.333333333333333</v>
      </c>
      <c r="I124" s="52" t="s">
        <v>38</v>
      </c>
      <c r="J124" s="53" t="n">
        <v>12</v>
      </c>
      <c r="K124" s="54" t="n">
        <v>18.8</v>
      </c>
      <c r="L124" s="54" t="n">
        <v>10</v>
      </c>
      <c r="M124" s="54" t="n">
        <v>860</v>
      </c>
      <c r="N124" s="54" t="n">
        <v>6.35</v>
      </c>
      <c r="O124" s="54" t="n">
        <v>19322</v>
      </c>
      <c r="P124" s="55" t="n">
        <f aca="false">(O124*1000)/24/60/60</f>
        <v>223.634259259259</v>
      </c>
      <c r="Q124" s="53" t="s">
        <v>63</v>
      </c>
      <c r="R124" s="53" t="n">
        <v>6.9</v>
      </c>
      <c r="S124" s="33" t="n">
        <v>42834.2935438494</v>
      </c>
      <c r="T124" s="33" t="n">
        <v>48578.5043647165</v>
      </c>
      <c r="U124" s="33" t="n">
        <v>58178363.1379629</v>
      </c>
      <c r="V124" s="56" t="n">
        <f aca="false">S124/1000</f>
        <v>42.8342935438494</v>
      </c>
      <c r="W124" s="56" t="n">
        <f aca="false">T124/1000</f>
        <v>48.5785043647165</v>
      </c>
      <c r="X124" s="56" t="n">
        <f aca="false">U124/1000</f>
        <v>58178.3631379629</v>
      </c>
      <c r="AC124" s="33" t="n">
        <f aca="false">S124/U124</f>
        <v>0.00073625814191907</v>
      </c>
      <c r="AD124" s="33" t="n">
        <f aca="false">T124/U124</f>
        <v>0.000834992628608655</v>
      </c>
    </row>
    <row r="125" customFormat="false" ht="14.25" hidden="false" customHeight="false" outlineLevel="0" collapsed="false">
      <c r="A125" s="1" t="s">
        <v>29</v>
      </c>
      <c r="B125" s="2" t="n">
        <v>44872</v>
      </c>
      <c r="C125" s="26" t="s">
        <v>30</v>
      </c>
      <c r="D125" s="3" t="n">
        <v>44873</v>
      </c>
      <c r="E125" s="27" t="s">
        <v>31</v>
      </c>
      <c r="F125" s="27" t="s">
        <v>32</v>
      </c>
      <c r="G125" s="1" t="n">
        <v>531171377</v>
      </c>
      <c r="H125" s="4" t="n">
        <v>0.333333333333333</v>
      </c>
      <c r="J125" s="6" t="n">
        <v>12</v>
      </c>
      <c r="K125" s="7" t="n">
        <v>19.37</v>
      </c>
      <c r="L125" s="7" t="n">
        <v>11</v>
      </c>
      <c r="M125" s="7" t="n">
        <v>1360</v>
      </c>
      <c r="N125" s="7" t="n">
        <v>7.83</v>
      </c>
      <c r="O125" s="8" t="n">
        <v>16257</v>
      </c>
      <c r="P125" s="30" t="n">
        <f aca="false">(O125*1000)/24/60/60</f>
        <v>188.159722222222</v>
      </c>
      <c r="Q125" s="6" t="s">
        <v>63</v>
      </c>
      <c r="R125" s="6" t="n">
        <v>19.7</v>
      </c>
      <c r="S125" s="9" t="n">
        <v>20784.775673475</v>
      </c>
      <c r="T125" s="9" t="n">
        <v>7900.62913482428</v>
      </c>
      <c r="U125" s="9" t="n">
        <v>25814140.4003558</v>
      </c>
      <c r="V125" s="10" t="n">
        <f aca="false">S125/1000</f>
        <v>20.784775673475</v>
      </c>
      <c r="W125" s="10" t="n">
        <f aca="false">T125/1000</f>
        <v>7.90062913482428</v>
      </c>
      <c r="X125" s="10" t="n">
        <f aca="false">U125/1000</f>
        <v>25814.1404003558</v>
      </c>
      <c r="AC125" s="33" t="n">
        <f aca="false">S125/U125</f>
        <v>0.000805170164534648</v>
      </c>
      <c r="AD125" s="33" t="n">
        <f aca="false">T125/U125</f>
        <v>0.000306058191839516</v>
      </c>
    </row>
    <row r="126" customFormat="false" ht="14.25" hidden="false" customHeight="false" outlineLevel="0" collapsed="false">
      <c r="A126" s="1" t="s">
        <v>29</v>
      </c>
      <c r="B126" s="2" t="n">
        <v>44872</v>
      </c>
      <c r="C126" s="26" t="s">
        <v>30</v>
      </c>
      <c r="D126" s="3" t="n">
        <v>44873</v>
      </c>
      <c r="E126" s="27" t="s">
        <v>35</v>
      </c>
      <c r="F126" s="27" t="s">
        <v>36</v>
      </c>
      <c r="G126" s="1" t="n">
        <v>531172042</v>
      </c>
      <c r="H126" s="4" t="n">
        <v>0.333333333333333</v>
      </c>
      <c r="J126" s="6" t="n">
        <v>12</v>
      </c>
      <c r="K126" s="7" t="n">
        <v>8.4</v>
      </c>
      <c r="L126" s="7" t="n">
        <v>11</v>
      </c>
      <c r="M126" s="7" t="n">
        <v>750</v>
      </c>
      <c r="N126" s="7" t="n">
        <v>7</v>
      </c>
      <c r="O126" s="8" t="n">
        <v>18036</v>
      </c>
      <c r="P126" s="30" t="n">
        <f aca="false">(O126*1000)/24/60/60</f>
        <v>208.75</v>
      </c>
      <c r="Q126" s="6" t="s">
        <v>63</v>
      </c>
      <c r="R126" s="6" t="n">
        <v>8.4</v>
      </c>
      <c r="S126" s="9" t="n">
        <v>24491.5197550348</v>
      </c>
      <c r="T126" s="9" t="n">
        <v>15265.6199499623</v>
      </c>
      <c r="U126" s="9" t="n">
        <v>22670222.7322922</v>
      </c>
      <c r="V126" s="10" t="n">
        <f aca="false">S126/1000</f>
        <v>24.4915197550348</v>
      </c>
      <c r="W126" s="10" t="n">
        <f aca="false">T126/1000</f>
        <v>15.2656199499623</v>
      </c>
      <c r="X126" s="10" t="n">
        <f aca="false">U126/1000</f>
        <v>22670.2227322922</v>
      </c>
      <c r="AC126" s="33" t="n">
        <f aca="false">S126/U126</f>
        <v>0.00108033873527622</v>
      </c>
      <c r="AD126" s="33" t="n">
        <f aca="false">T126/U126</f>
        <v>0.00067337759007623</v>
      </c>
    </row>
    <row r="127" s="11" customFormat="true" ht="14.25" hidden="false" customHeight="false" outlineLevel="0" collapsed="false">
      <c r="A127" s="49" t="s">
        <v>29</v>
      </c>
      <c r="B127" s="2" t="n">
        <v>44874</v>
      </c>
      <c r="C127" s="25" t="s">
        <v>30</v>
      </c>
      <c r="D127" s="2" t="n">
        <v>44875</v>
      </c>
      <c r="E127" s="50" t="s">
        <v>31</v>
      </c>
      <c r="F127" s="50" t="s">
        <v>32</v>
      </c>
      <c r="G127" s="49" t="n">
        <v>531171505</v>
      </c>
      <c r="H127" s="51" t="n">
        <v>0.333333333333333</v>
      </c>
      <c r="I127" s="52"/>
      <c r="J127" s="53" t="n">
        <v>12</v>
      </c>
      <c r="K127" s="54" t="n">
        <v>19.37</v>
      </c>
      <c r="L127" s="54" t="n">
        <v>7</v>
      </c>
      <c r="M127" s="54" t="n">
        <v>1460</v>
      </c>
      <c r="N127" s="54" t="n">
        <v>7.87</v>
      </c>
      <c r="O127" s="54" t="n">
        <v>16831</v>
      </c>
      <c r="P127" s="55" t="n">
        <f aca="false">(O127*1000)/24/60/60</f>
        <v>194.803240740741</v>
      </c>
      <c r="Q127" s="53" t="s">
        <v>63</v>
      </c>
      <c r="R127" s="53" t="n">
        <v>23.2</v>
      </c>
      <c r="S127" s="33" t="n">
        <v>11971.6912735163</v>
      </c>
      <c r="T127" s="33" t="n">
        <v>6930.54204149778</v>
      </c>
      <c r="U127" s="33" t="n">
        <v>46486303.1569515</v>
      </c>
      <c r="V127" s="56" t="n">
        <f aca="false">S127/1000</f>
        <v>11.9716912735163</v>
      </c>
      <c r="W127" s="56" t="n">
        <f aca="false">T127/1000</f>
        <v>6.93054204149778</v>
      </c>
      <c r="X127" s="56" t="n">
        <f aca="false">U127/1000</f>
        <v>46486.3031569515</v>
      </c>
      <c r="Y127" s="49"/>
      <c r="AC127" s="33" t="n">
        <f aca="false">S127/U127</f>
        <v>0.000257531583724702</v>
      </c>
      <c r="AD127" s="33" t="n">
        <f aca="false">T127/U127</f>
        <v>0.000149087829550529</v>
      </c>
    </row>
    <row r="128" s="11" customFormat="true" ht="14.25" hidden="false" customHeight="false" outlineLevel="0" collapsed="false">
      <c r="A128" s="49" t="s">
        <v>29</v>
      </c>
      <c r="B128" s="2" t="n">
        <v>44874</v>
      </c>
      <c r="C128" s="25" t="s">
        <v>30</v>
      </c>
      <c r="D128" s="2" t="n">
        <v>44875</v>
      </c>
      <c r="E128" s="50" t="s">
        <v>35</v>
      </c>
      <c r="F128" s="50" t="s">
        <v>36</v>
      </c>
      <c r="G128" s="49" t="n">
        <v>531172280</v>
      </c>
      <c r="H128" s="51" t="n">
        <v>0.333333333333333</v>
      </c>
      <c r="I128" s="52"/>
      <c r="J128" s="53" t="n">
        <v>12</v>
      </c>
      <c r="K128" s="54" t="n">
        <v>18.17</v>
      </c>
      <c r="L128" s="54" t="n">
        <v>7</v>
      </c>
      <c r="M128" s="54" t="n">
        <v>790</v>
      </c>
      <c r="N128" s="54" t="n">
        <v>6.95</v>
      </c>
      <c r="O128" s="54" t="n">
        <v>18085</v>
      </c>
      <c r="P128" s="55" t="n">
        <f aca="false">(O128*1000)/24/60/60</f>
        <v>209.31712962963</v>
      </c>
      <c r="Q128" s="53" t="s">
        <v>63</v>
      </c>
      <c r="R128" s="53" t="n">
        <v>14.7</v>
      </c>
      <c r="S128" s="33" t="n">
        <v>46076.8274561186</v>
      </c>
      <c r="T128" s="33" t="n">
        <v>24145.9948521841</v>
      </c>
      <c r="U128" s="33" t="n">
        <v>40669070.8616554</v>
      </c>
      <c r="V128" s="56" t="n">
        <f aca="false">S128/1000</f>
        <v>46.0768274561186</v>
      </c>
      <c r="W128" s="56" t="n">
        <f aca="false">T128/1000</f>
        <v>24.1459948521841</v>
      </c>
      <c r="X128" s="56" t="n">
        <f aca="false">U128/1000</f>
        <v>40669.0708616554</v>
      </c>
      <c r="Y128" s="49"/>
      <c r="AC128" s="33" t="n">
        <f aca="false">S128/U128</f>
        <v>0.00113296976006309</v>
      </c>
      <c r="AD128" s="33" t="n">
        <f aca="false">T128/U128</f>
        <v>0.000593718871383167</v>
      </c>
    </row>
    <row r="129" customFormat="false" ht="14.25" hidden="false" customHeight="false" outlineLevel="0" collapsed="false">
      <c r="A129" s="1" t="s">
        <v>29</v>
      </c>
      <c r="B129" s="2" t="n">
        <v>44879</v>
      </c>
      <c r="C129" s="26" t="s">
        <v>30</v>
      </c>
      <c r="D129" s="3" t="n">
        <v>44880</v>
      </c>
      <c r="E129" s="27" t="s">
        <v>31</v>
      </c>
      <c r="F129" s="27" t="s">
        <v>32</v>
      </c>
      <c r="G129" s="1" t="n">
        <v>531171941</v>
      </c>
      <c r="H129" s="4" t="n">
        <v>0.333333333333333</v>
      </c>
      <c r="I129" s="5" t="s">
        <v>62</v>
      </c>
      <c r="J129" s="6" t="n">
        <v>12</v>
      </c>
      <c r="K129" s="7" t="n">
        <v>19.2</v>
      </c>
      <c r="L129" s="7" t="n">
        <v>10</v>
      </c>
      <c r="M129" s="7" t="n">
        <v>1470</v>
      </c>
      <c r="N129" s="7" t="n">
        <v>7.84</v>
      </c>
      <c r="O129" s="8" t="n">
        <v>15801</v>
      </c>
      <c r="P129" s="30" t="n">
        <f aca="false">(O129*1000)/24/60/60</f>
        <v>182.881944444444</v>
      </c>
      <c r="Q129" s="6" t="s">
        <v>63</v>
      </c>
      <c r="R129" s="6" t="n">
        <v>19.2</v>
      </c>
      <c r="S129" s="9" t="n">
        <v>27578.652380882</v>
      </c>
      <c r="T129" s="9" t="n">
        <v>15289.6113205185</v>
      </c>
      <c r="U129" s="9" t="n">
        <v>57073875.3537484</v>
      </c>
      <c r="V129" s="10" t="n">
        <f aca="false">S129/1000</f>
        <v>27.578652380882</v>
      </c>
      <c r="W129" s="10" t="n">
        <f aca="false">T129/1000</f>
        <v>15.2896113205185</v>
      </c>
      <c r="X129" s="10" t="n">
        <f aca="false">U129/1000</f>
        <v>57073.8753537484</v>
      </c>
      <c r="AC129" s="33" t="n">
        <f aca="false">S129/U129</f>
        <v>0.000483209738430189</v>
      </c>
      <c r="AD129" s="33" t="n">
        <f aca="false">T129/U129</f>
        <v>0.000267891591831679</v>
      </c>
    </row>
    <row r="130" customFormat="false" ht="14.25" hidden="false" customHeight="false" outlineLevel="0" collapsed="false">
      <c r="A130" s="1" t="s">
        <v>29</v>
      </c>
      <c r="B130" s="2" t="n">
        <v>44879</v>
      </c>
      <c r="C130" s="26" t="s">
        <v>30</v>
      </c>
      <c r="D130" s="3" t="n">
        <v>44880</v>
      </c>
      <c r="E130" s="27" t="s">
        <v>35</v>
      </c>
      <c r="F130" s="27" t="s">
        <v>36</v>
      </c>
      <c r="G130" s="1" t="n">
        <v>531172092</v>
      </c>
      <c r="H130" s="4" t="n">
        <v>0.333333333333333</v>
      </c>
      <c r="I130" s="5" t="s">
        <v>62</v>
      </c>
      <c r="J130" s="6" t="n">
        <v>12</v>
      </c>
      <c r="K130" s="7" t="n">
        <v>18</v>
      </c>
      <c r="L130" s="7" t="n">
        <v>10</v>
      </c>
      <c r="M130" s="7" t="n">
        <v>950</v>
      </c>
      <c r="N130" s="7" t="n">
        <v>6.75</v>
      </c>
      <c r="O130" s="8" t="n">
        <v>16858</v>
      </c>
      <c r="P130" s="30" t="n">
        <f aca="false">(O130*1000)/24/60/60</f>
        <v>195.115740740741</v>
      </c>
      <c r="Q130" s="6" t="s">
        <v>63</v>
      </c>
      <c r="R130" s="6" t="n">
        <v>6.7</v>
      </c>
      <c r="S130" s="9" t="n">
        <v>8355.39911722742</v>
      </c>
      <c r="T130" s="9" t="n">
        <v>8176.86761765229</v>
      </c>
      <c r="U130" s="9" t="n">
        <v>23709208.4619622</v>
      </c>
      <c r="V130" s="10" t="n">
        <f aca="false">S130/1000</f>
        <v>8.35539911722742</v>
      </c>
      <c r="W130" s="10" t="n">
        <f aca="false">T130/1000</f>
        <v>8.17686761765229</v>
      </c>
      <c r="X130" s="10" t="n">
        <f aca="false">U130/1000</f>
        <v>23709.2084619622</v>
      </c>
      <c r="AC130" s="33" t="n">
        <f aca="false">S130/U130</f>
        <v>0.000352411559020723</v>
      </c>
      <c r="AD130" s="33" t="n">
        <f aca="false">T130/U130</f>
        <v>0.000344881510100635</v>
      </c>
    </row>
    <row r="131" s="11" customFormat="true" ht="14.25" hidden="false" customHeight="false" outlineLevel="0" collapsed="false">
      <c r="A131" s="49" t="s">
        <v>29</v>
      </c>
      <c r="B131" s="2" t="n">
        <v>44881</v>
      </c>
      <c r="C131" s="25" t="s">
        <v>30</v>
      </c>
      <c r="D131" s="2" t="n">
        <v>44882</v>
      </c>
      <c r="E131" s="50" t="s">
        <v>31</v>
      </c>
      <c r="F131" s="50" t="s">
        <v>32</v>
      </c>
      <c r="G131" s="49" t="n">
        <v>531171440</v>
      </c>
      <c r="H131" s="51" t="n">
        <v>0.333333333333333</v>
      </c>
      <c r="I131" s="52" t="s">
        <v>62</v>
      </c>
      <c r="J131" s="53" t="n">
        <v>12</v>
      </c>
      <c r="K131" s="54" t="n">
        <v>17.96</v>
      </c>
      <c r="L131" s="54" t="n">
        <v>10</v>
      </c>
      <c r="M131" s="54" t="n">
        <v>1120</v>
      </c>
      <c r="N131" s="54" t="n">
        <v>7.88</v>
      </c>
      <c r="O131" s="54" t="n">
        <v>33299</v>
      </c>
      <c r="P131" s="55" t="n">
        <f aca="false">(O131*1000)/24/60/60</f>
        <v>385.405092592593</v>
      </c>
      <c r="Q131" s="53" t="s">
        <v>63</v>
      </c>
      <c r="R131" s="53" t="n">
        <v>11.3</v>
      </c>
      <c r="S131" s="33" t="n">
        <v>15339.7857672635</v>
      </c>
      <c r="T131" s="33" t="n">
        <v>14718.9773567869</v>
      </c>
      <c r="U131" s="33" t="n">
        <v>46490041.5005887</v>
      </c>
      <c r="V131" s="56" t="n">
        <f aca="false">S131/1000</f>
        <v>15.3397857672635</v>
      </c>
      <c r="W131" s="56" t="n">
        <f aca="false">T131/1000</f>
        <v>14.7189773567869</v>
      </c>
      <c r="X131" s="56" t="n">
        <f aca="false">U131/1000</f>
        <v>46490.0415005887</v>
      </c>
      <c r="Y131" s="49"/>
      <c r="AC131" s="33" t="n">
        <f aca="false">S131/U131</f>
        <v>0.00032995853030308</v>
      </c>
      <c r="AD131" s="33" t="n">
        <f aca="false">T131/U131</f>
        <v>0.000316604951978812</v>
      </c>
    </row>
    <row r="132" s="11" customFormat="true" ht="14.25" hidden="false" customHeight="false" outlineLevel="0" collapsed="false">
      <c r="A132" s="49" t="s">
        <v>29</v>
      </c>
      <c r="B132" s="2" t="n">
        <v>44881</v>
      </c>
      <c r="C132" s="25" t="s">
        <v>30</v>
      </c>
      <c r="D132" s="2" t="n">
        <v>44882</v>
      </c>
      <c r="E132" s="50" t="s">
        <v>35</v>
      </c>
      <c r="F132" s="50" t="s">
        <v>36</v>
      </c>
      <c r="G132" s="49" t="n">
        <v>531172213</v>
      </c>
      <c r="H132" s="51" t="n">
        <v>0.333333333333333</v>
      </c>
      <c r="I132" s="52" t="s">
        <v>62</v>
      </c>
      <c r="J132" s="53" t="n">
        <v>12</v>
      </c>
      <c r="K132" s="54" t="n">
        <v>17.28</v>
      </c>
      <c r="L132" s="54" t="n">
        <v>10</v>
      </c>
      <c r="M132" s="54" t="n">
        <v>630</v>
      </c>
      <c r="N132" s="54" t="n">
        <v>6.99</v>
      </c>
      <c r="O132" s="54" t="n">
        <v>30987</v>
      </c>
      <c r="P132" s="55" t="n">
        <f aca="false">(O132*1000)/24/60/60</f>
        <v>358.645833333333</v>
      </c>
      <c r="Q132" s="53" t="s">
        <v>63</v>
      </c>
      <c r="R132" s="53" t="n">
        <v>6.1</v>
      </c>
      <c r="S132" s="33" t="n">
        <v>12792.8392962189</v>
      </c>
      <c r="T132" s="33" t="n">
        <v>12044.2141066185</v>
      </c>
      <c r="U132" s="33" t="n">
        <v>28882386.2336261</v>
      </c>
      <c r="V132" s="56" t="n">
        <f aca="false">S132/1000</f>
        <v>12.7928392962189</v>
      </c>
      <c r="W132" s="56" t="n">
        <f aca="false">T132/1000</f>
        <v>12.0442141066185</v>
      </c>
      <c r="X132" s="56" t="n">
        <f aca="false">U132/1000</f>
        <v>28882.3862336261</v>
      </c>
      <c r="Y132" s="49"/>
      <c r="AC132" s="33" t="n">
        <f aca="false">S132/U132</f>
        <v>0.000442928752241564</v>
      </c>
      <c r="AD132" s="33" t="n">
        <f aca="false">T132/U132</f>
        <v>0.000417008969037194</v>
      </c>
    </row>
    <row r="133" s="1" customFormat="true" ht="14.25" hidden="false" customHeight="false" outlineLevel="0" collapsed="false">
      <c r="A133" s="1" t="s">
        <v>29</v>
      </c>
      <c r="B133" s="3" t="n">
        <v>44886</v>
      </c>
      <c r="C133" s="26" t="s">
        <v>30</v>
      </c>
      <c r="D133" s="3" t="n">
        <v>44887</v>
      </c>
      <c r="E133" s="27" t="s">
        <v>31</v>
      </c>
      <c r="F133" s="27" t="s">
        <v>32</v>
      </c>
      <c r="G133" s="1" t="n">
        <v>531171580</v>
      </c>
      <c r="H133" s="4" t="n">
        <v>0.333333333333333</v>
      </c>
      <c r="I133" s="46" t="s">
        <v>62</v>
      </c>
      <c r="J133" s="6" t="n">
        <v>12</v>
      </c>
      <c r="K133" s="58" t="s">
        <v>49</v>
      </c>
      <c r="L133" s="31" t="n">
        <v>6</v>
      </c>
      <c r="M133" s="58" t="s">
        <v>49</v>
      </c>
      <c r="N133" s="58" t="s">
        <v>49</v>
      </c>
      <c r="O133" s="8" t="n">
        <v>20439</v>
      </c>
      <c r="P133" s="31" t="n">
        <f aca="false">(O133*1000)/24/60/60</f>
        <v>236.5625</v>
      </c>
      <c r="Q133" s="6" t="s">
        <v>63</v>
      </c>
      <c r="R133" s="6" t="n">
        <v>13</v>
      </c>
      <c r="S133" s="59" t="n">
        <v>11038.2495428622</v>
      </c>
      <c r="T133" s="59" t="n">
        <v>9325.06655316729</v>
      </c>
      <c r="U133" s="59" t="n">
        <v>20710456.7235294</v>
      </c>
      <c r="V133" s="60" t="n">
        <f aca="false">S133/1000</f>
        <v>11.0382495428622</v>
      </c>
      <c r="W133" s="60" t="n">
        <f aca="false">T133/1000</f>
        <v>9.32506655316729</v>
      </c>
      <c r="X133" s="60" t="n">
        <f aca="false">U133/1000</f>
        <v>20710.4567235294</v>
      </c>
      <c r="Y133" s="1" t="s">
        <v>66</v>
      </c>
      <c r="AC133" s="33" t="n">
        <f aca="false">S133/U133</f>
        <v>0.000532979532523852</v>
      </c>
      <c r="AD133" s="33" t="n">
        <f aca="false">T133/U133</f>
        <v>0.000450258856076938</v>
      </c>
    </row>
    <row r="134" s="1" customFormat="true" ht="14.25" hidden="false" customHeight="false" outlineLevel="0" collapsed="false">
      <c r="A134" s="1" t="s">
        <v>29</v>
      </c>
      <c r="B134" s="3" t="n">
        <v>44886</v>
      </c>
      <c r="C134" s="26" t="s">
        <v>30</v>
      </c>
      <c r="D134" s="3" t="n">
        <v>44887</v>
      </c>
      <c r="E134" s="27" t="s">
        <v>35</v>
      </c>
      <c r="F134" s="27" t="s">
        <v>36</v>
      </c>
      <c r="G134" s="1" t="n">
        <v>531172992</v>
      </c>
      <c r="H134" s="4" t="n">
        <v>0.333333333333333</v>
      </c>
      <c r="I134" s="46" t="s">
        <v>62</v>
      </c>
      <c r="J134" s="6" t="n">
        <v>12</v>
      </c>
      <c r="K134" s="58" t="s">
        <v>49</v>
      </c>
      <c r="L134" s="31" t="n">
        <v>6</v>
      </c>
      <c r="M134" s="58" t="s">
        <v>49</v>
      </c>
      <c r="N134" s="58" t="s">
        <v>49</v>
      </c>
      <c r="O134" s="8" t="n">
        <v>18614</v>
      </c>
      <c r="P134" s="31" t="n">
        <f aca="false">(O134*1000)/24/60/60</f>
        <v>215.439814814815</v>
      </c>
      <c r="Q134" s="6" t="s">
        <v>63</v>
      </c>
      <c r="R134" s="6" t="n">
        <v>5.3</v>
      </c>
      <c r="S134" s="59" t="n">
        <v>21665.2279700516</v>
      </c>
      <c r="T134" s="59" t="n">
        <v>9325.06655316729</v>
      </c>
      <c r="U134" s="59" t="n">
        <v>18732362.2193492</v>
      </c>
      <c r="V134" s="60" t="n">
        <f aca="false">S134/1000</f>
        <v>21.6652279700516</v>
      </c>
      <c r="W134" s="60" t="n">
        <f aca="false">T134/1000</f>
        <v>9.32506655316729</v>
      </c>
      <c r="X134" s="60" t="n">
        <f aca="false">U134/1000</f>
        <v>18732.3622193492</v>
      </c>
      <c r="Y134" s="1" t="s">
        <v>66</v>
      </c>
      <c r="AC134" s="33" t="n">
        <f aca="false">S134/U134</f>
        <v>0.00115656678620452</v>
      </c>
      <c r="AD134" s="33" t="n">
        <f aca="false">T134/U134</f>
        <v>0.00049780515900633</v>
      </c>
    </row>
    <row r="135" s="1" customFormat="true" ht="14.25" hidden="false" customHeight="false" outlineLevel="0" collapsed="false">
      <c r="A135" s="1" t="s">
        <v>29</v>
      </c>
      <c r="B135" s="2" t="n">
        <v>44888</v>
      </c>
      <c r="C135" s="26" t="s">
        <v>30</v>
      </c>
      <c r="D135" s="3" t="n">
        <v>44889</v>
      </c>
      <c r="E135" s="27" t="s">
        <v>31</v>
      </c>
      <c r="F135" s="27" t="s">
        <v>32</v>
      </c>
      <c r="G135" s="1" t="n">
        <v>531171886</v>
      </c>
      <c r="H135" s="4" t="n">
        <v>0.333333333333333</v>
      </c>
      <c r="I135" s="5" t="s">
        <v>62</v>
      </c>
      <c r="J135" s="6" t="n">
        <v>12</v>
      </c>
      <c r="K135" s="7" t="n">
        <v>15.3</v>
      </c>
      <c r="L135" s="7" t="n">
        <v>8</v>
      </c>
      <c r="M135" s="7" t="n">
        <v>650</v>
      </c>
      <c r="N135" s="7" t="n">
        <v>7.78</v>
      </c>
      <c r="O135" s="8" t="n">
        <v>36973</v>
      </c>
      <c r="P135" s="30" t="n">
        <f aca="false">(O135*1000)/24/60/60</f>
        <v>427.928240740741</v>
      </c>
      <c r="Q135" s="6" t="s">
        <v>63</v>
      </c>
      <c r="R135" s="6" t="n">
        <v>24.8</v>
      </c>
      <c r="S135" s="9" t="n">
        <v>8263.8682427235</v>
      </c>
      <c r="T135" s="9" t="n">
        <v>9325.06655316729</v>
      </c>
      <c r="U135" s="9" t="n">
        <v>24262692.6026816</v>
      </c>
      <c r="V135" s="10" t="n">
        <f aca="false">S135/1000</f>
        <v>8.2638682427235</v>
      </c>
      <c r="W135" s="10" t="n">
        <f aca="false">T135/1000</f>
        <v>9.32506655316729</v>
      </c>
      <c r="X135" s="10" t="n">
        <f aca="false">U135/1000</f>
        <v>24262.6926026816</v>
      </c>
      <c r="AC135" s="33" t="n">
        <f aca="false">S135/U135</f>
        <v>0.000340599799785212</v>
      </c>
      <c r="AD135" s="33" t="n">
        <f aca="false">T135/U135</f>
        <v>0.000384337662182501</v>
      </c>
    </row>
    <row r="136" s="1" customFormat="true" ht="14.25" hidden="false" customHeight="false" outlineLevel="0" collapsed="false">
      <c r="A136" s="1" t="s">
        <v>29</v>
      </c>
      <c r="B136" s="2" t="n">
        <v>44888</v>
      </c>
      <c r="C136" s="26" t="s">
        <v>30</v>
      </c>
      <c r="D136" s="3" t="n">
        <v>44889</v>
      </c>
      <c r="E136" s="27" t="s">
        <v>35</v>
      </c>
      <c r="F136" s="27" t="s">
        <v>36</v>
      </c>
      <c r="G136" s="1" t="n">
        <v>531172336</v>
      </c>
      <c r="H136" s="4" t="n">
        <v>0.333333333333333</v>
      </c>
      <c r="I136" s="5" t="s">
        <v>62</v>
      </c>
      <c r="J136" s="6" t="n">
        <v>12</v>
      </c>
      <c r="K136" s="7" t="n">
        <v>15.9</v>
      </c>
      <c r="L136" s="7" t="n">
        <v>8</v>
      </c>
      <c r="M136" s="7" t="n">
        <v>590</v>
      </c>
      <c r="N136" s="7" t="n">
        <v>6.96</v>
      </c>
      <c r="O136" s="8" t="n">
        <v>40271</v>
      </c>
      <c r="P136" s="30" t="n">
        <f aca="false">(O136*1000)/24/60/60</f>
        <v>466.099537037037</v>
      </c>
      <c r="Q136" s="6" t="s">
        <v>63</v>
      </c>
      <c r="R136" s="6" t="n">
        <v>10.7</v>
      </c>
      <c r="S136" s="9" t="n">
        <v>18622.9145619239</v>
      </c>
      <c r="T136" s="9" t="n">
        <v>9325.06655316729</v>
      </c>
      <c r="U136" s="9" t="n">
        <v>13284836.6648778</v>
      </c>
      <c r="V136" s="10" t="n">
        <f aca="false">S136/1000</f>
        <v>18.6229145619239</v>
      </c>
      <c r="W136" s="10" t="n">
        <f aca="false">T136/1000</f>
        <v>9.32506655316729</v>
      </c>
      <c r="X136" s="10" t="n">
        <f aca="false">U136/1000</f>
        <v>13284.8366648778</v>
      </c>
      <c r="AC136" s="33" t="n">
        <f aca="false">S136/U136</f>
        <v>0.00140181735249773</v>
      </c>
      <c r="AD136" s="33" t="n">
        <f aca="false">T136/U136</f>
        <v>0.00070193309774148</v>
      </c>
    </row>
    <row r="137" s="1" customFormat="true" ht="14.25" hidden="false" customHeight="false" outlineLevel="0" collapsed="false">
      <c r="A137" s="1" t="s">
        <v>29</v>
      </c>
      <c r="B137" s="2" t="n">
        <v>44893</v>
      </c>
      <c r="C137" s="26" t="s">
        <v>30</v>
      </c>
      <c r="D137" s="3" t="n">
        <v>44894</v>
      </c>
      <c r="E137" s="27" t="s">
        <v>31</v>
      </c>
      <c r="F137" s="27" t="s">
        <v>32</v>
      </c>
      <c r="G137" s="1" t="n">
        <v>531171376</v>
      </c>
      <c r="H137" s="4" t="n">
        <v>0.333333333333333</v>
      </c>
      <c r="I137" s="5" t="s">
        <v>62</v>
      </c>
      <c r="J137" s="6" t="n">
        <v>12</v>
      </c>
      <c r="K137" s="30" t="n">
        <v>12.7</v>
      </c>
      <c r="L137" s="30" t="n">
        <v>8</v>
      </c>
      <c r="M137" s="30" t="n">
        <v>750</v>
      </c>
      <c r="N137" s="30" t="n">
        <v>7.82</v>
      </c>
      <c r="O137" s="8" t="n">
        <v>34936</v>
      </c>
      <c r="P137" s="30" t="n">
        <f aca="false">(O137*1000)/24/60/60</f>
        <v>404.351851851852</v>
      </c>
      <c r="Q137" s="6" t="s">
        <v>63</v>
      </c>
      <c r="R137" s="6" t="n">
        <v>8.4</v>
      </c>
      <c r="S137" s="9" t="n">
        <v>6542.63609304288</v>
      </c>
      <c r="T137" s="9" t="n">
        <v>6190.87849759308</v>
      </c>
      <c r="U137" s="9" t="n">
        <v>1869449.62270205</v>
      </c>
      <c r="V137" s="10" t="n">
        <f aca="false">S137/1000</f>
        <v>6.54263609304288</v>
      </c>
      <c r="W137" s="10" t="n">
        <f aca="false">T137/1000</f>
        <v>6.19087849759308</v>
      </c>
      <c r="X137" s="10" t="n">
        <f aca="false">U137/1000</f>
        <v>1869.44962270205</v>
      </c>
      <c r="AC137" s="33" t="n">
        <f aca="false">S137/U137</f>
        <v>0.00349976592767787</v>
      </c>
      <c r="AD137" s="33" t="n">
        <f aca="false">T137/U137</f>
        <v>0.00331160488221392</v>
      </c>
    </row>
    <row r="138" s="1" customFormat="true" ht="14.25" hidden="false" customHeight="false" outlineLevel="0" collapsed="false">
      <c r="A138" s="1" t="s">
        <v>29</v>
      </c>
      <c r="B138" s="2" t="n">
        <v>44893</v>
      </c>
      <c r="C138" s="26" t="s">
        <v>30</v>
      </c>
      <c r="D138" s="3" t="n">
        <v>44894</v>
      </c>
      <c r="E138" s="27" t="s">
        <v>35</v>
      </c>
      <c r="F138" s="27" t="s">
        <v>36</v>
      </c>
      <c r="G138" s="1" t="n">
        <v>531172418</v>
      </c>
      <c r="H138" s="4" t="n">
        <v>0.333333333333333</v>
      </c>
      <c r="I138" s="5" t="s">
        <v>62</v>
      </c>
      <c r="J138" s="6" t="n">
        <v>12</v>
      </c>
      <c r="K138" s="30" t="n">
        <v>15.24</v>
      </c>
      <c r="L138" s="30" t="n">
        <v>8</v>
      </c>
      <c r="M138" s="30" t="n">
        <v>440</v>
      </c>
      <c r="N138" s="30" t="n">
        <v>7.11</v>
      </c>
      <c r="O138" s="8" t="n">
        <v>38838</v>
      </c>
      <c r="P138" s="30" t="n">
        <f aca="false">(O138*1000)/24/60/60</f>
        <v>449.513888888889</v>
      </c>
      <c r="Q138" s="6" t="s">
        <v>63</v>
      </c>
      <c r="R138" s="6" t="n">
        <v>0.5</v>
      </c>
      <c r="S138" s="9" t="n">
        <v>6542.63609304288</v>
      </c>
      <c r="T138" s="9" t="n">
        <v>6190.87849759308</v>
      </c>
      <c r="U138" s="9" t="n">
        <v>2764836.36987272</v>
      </c>
      <c r="V138" s="10" t="n">
        <f aca="false">S138/1000</f>
        <v>6.54263609304288</v>
      </c>
      <c r="W138" s="10" t="n">
        <f aca="false">T138/1000</f>
        <v>6.19087849759308</v>
      </c>
      <c r="X138" s="10" t="n">
        <f aca="false">U138/1000</f>
        <v>2764.83636987272</v>
      </c>
      <c r="AC138" s="33" t="n">
        <f aca="false">S138/U138</f>
        <v>0.00236637370816418</v>
      </c>
      <c r="AD138" s="33" t="n">
        <f aca="false">T138/U138</f>
        <v>0.00223914824220794</v>
      </c>
    </row>
    <row r="139" s="1" customFormat="true" ht="14.25" hidden="false" customHeight="false" outlineLevel="0" collapsed="false">
      <c r="A139" s="1" t="s">
        <v>29</v>
      </c>
      <c r="B139" s="2" t="n">
        <v>44895</v>
      </c>
      <c r="C139" s="26" t="s">
        <v>30</v>
      </c>
      <c r="D139" s="3" t="n">
        <v>44896</v>
      </c>
      <c r="E139" s="27" t="s">
        <v>31</v>
      </c>
      <c r="F139" s="27" t="s">
        <v>32</v>
      </c>
      <c r="G139" s="1" t="n">
        <v>531171057</v>
      </c>
      <c r="H139" s="4" t="n">
        <v>0.333333333333333</v>
      </c>
      <c r="I139" s="5" t="s">
        <v>62</v>
      </c>
      <c r="J139" s="6" t="n">
        <v>12</v>
      </c>
      <c r="K139" s="30" t="n">
        <v>16.26</v>
      </c>
      <c r="L139" s="30" t="n">
        <v>6</v>
      </c>
      <c r="M139" s="30" t="n">
        <v>770</v>
      </c>
      <c r="N139" s="30" t="n">
        <v>7.72</v>
      </c>
      <c r="O139" s="8" t="n">
        <v>17740</v>
      </c>
      <c r="P139" s="30" t="n">
        <f aca="false">(O139*1000)/24/60/60</f>
        <v>205.324074074074</v>
      </c>
      <c r="Q139" s="6" t="s">
        <v>63</v>
      </c>
      <c r="R139" s="6" t="n">
        <v>28</v>
      </c>
      <c r="S139" s="9" t="n">
        <v>15850.6193875817</v>
      </c>
      <c r="T139" s="9" t="n">
        <v>6190.87849759308</v>
      </c>
      <c r="U139" s="9" t="n">
        <v>20710882.0638192</v>
      </c>
      <c r="V139" s="10" t="n">
        <f aca="false">S139/1000</f>
        <v>15.8506193875817</v>
      </c>
      <c r="W139" s="10" t="n">
        <f aca="false">T139/1000</f>
        <v>6.19087849759308</v>
      </c>
      <c r="X139" s="10" t="n">
        <f aca="false">U139/1000</f>
        <v>20710.8820638192</v>
      </c>
      <c r="AC139" s="33" t="n">
        <f aca="false">S139/U139</f>
        <v>0.000765328069501775</v>
      </c>
      <c r="AD139" s="33" t="n">
        <f aca="false">T139/U139</f>
        <v>0.000298919113078637</v>
      </c>
    </row>
    <row r="140" s="1" customFormat="true" ht="14.25" hidden="false" customHeight="false" outlineLevel="0" collapsed="false">
      <c r="A140" s="1" t="s">
        <v>29</v>
      </c>
      <c r="B140" s="2" t="n">
        <v>44895</v>
      </c>
      <c r="C140" s="26" t="s">
        <v>30</v>
      </c>
      <c r="D140" s="3" t="n">
        <v>44896</v>
      </c>
      <c r="E140" s="27" t="s">
        <v>35</v>
      </c>
      <c r="F140" s="27" t="s">
        <v>36</v>
      </c>
      <c r="G140" s="1" t="n">
        <v>531172974</v>
      </c>
      <c r="H140" s="4" t="n">
        <v>0.333333333333333</v>
      </c>
      <c r="I140" s="5" t="s">
        <v>62</v>
      </c>
      <c r="J140" s="6" t="n">
        <v>12</v>
      </c>
      <c r="K140" s="30" t="n">
        <v>16.11</v>
      </c>
      <c r="L140" s="30" t="n">
        <v>6</v>
      </c>
      <c r="M140" s="30" t="n">
        <v>550</v>
      </c>
      <c r="N140" s="30" t="n">
        <v>6.96</v>
      </c>
      <c r="O140" s="8" t="n">
        <v>20971</v>
      </c>
      <c r="P140" s="30" t="n">
        <f aca="false">(O140*1000)/24/60/60</f>
        <v>242.719907407407</v>
      </c>
      <c r="Q140" s="6" t="s">
        <v>63</v>
      </c>
      <c r="R140" s="6" t="n">
        <v>4</v>
      </c>
      <c r="S140" s="9" t="n">
        <v>23062.5151253122</v>
      </c>
      <c r="T140" s="9" t="n">
        <v>23771.1280122249</v>
      </c>
      <c r="U140" s="9" t="n">
        <v>19863143.9680032</v>
      </c>
      <c r="V140" s="10" t="n">
        <f aca="false">S140/1000</f>
        <v>23.0625151253122</v>
      </c>
      <c r="W140" s="10" t="n">
        <f aca="false">T140/1000</f>
        <v>23.7711280122249</v>
      </c>
      <c r="X140" s="10" t="n">
        <f aca="false">U140/1000</f>
        <v>19863.1439680032</v>
      </c>
      <c r="AC140" s="33" t="n">
        <f aca="false">S140/U140</f>
        <v>0.00116107073293446</v>
      </c>
      <c r="AD140" s="33" t="n">
        <f aca="false">T140/U140</f>
        <v>0.00119674549258249</v>
      </c>
    </row>
    <row r="141" s="1" customFormat="true" ht="14.25" hidden="false" customHeight="false" outlineLevel="0" collapsed="false">
      <c r="A141" s="1" t="s">
        <v>29</v>
      </c>
      <c r="B141" s="2" t="n">
        <v>44900</v>
      </c>
      <c r="C141" s="26" t="s">
        <v>30</v>
      </c>
      <c r="D141" s="3" t="n">
        <v>44901</v>
      </c>
      <c r="E141" s="27" t="s">
        <v>31</v>
      </c>
      <c r="F141" s="27" t="s">
        <v>32</v>
      </c>
      <c r="G141" s="1" t="n">
        <v>531171849</v>
      </c>
      <c r="H141" s="4" t="n">
        <v>0.333333333333333</v>
      </c>
      <c r="I141" s="5"/>
      <c r="J141" s="6" t="n">
        <v>12</v>
      </c>
      <c r="K141" s="7" t="n">
        <v>13.92</v>
      </c>
      <c r="L141" s="7" t="n">
        <v>3</v>
      </c>
      <c r="M141" s="7" t="n">
        <v>590</v>
      </c>
      <c r="N141" s="7" t="n">
        <v>7.82</v>
      </c>
      <c r="O141" s="8" t="n">
        <v>46625</v>
      </c>
      <c r="P141" s="30" t="n">
        <f aca="false">(O141*1000)/24/60/60</f>
        <v>539.641203703704</v>
      </c>
      <c r="Q141" s="6" t="s">
        <v>63</v>
      </c>
      <c r="R141" s="6" t="n">
        <v>6</v>
      </c>
      <c r="S141" s="9" t="n">
        <v>6754.81802118394</v>
      </c>
      <c r="T141" s="9" t="n">
        <v>6190.87849759308</v>
      </c>
      <c r="U141" s="9" t="n">
        <v>7142730.47477578</v>
      </c>
      <c r="V141" s="10" t="n">
        <f aca="false">S141/1000</f>
        <v>6.75481802118394</v>
      </c>
      <c r="W141" s="10" t="n">
        <f aca="false">T141/1000</f>
        <v>6.19087849759308</v>
      </c>
      <c r="X141" s="10" t="n">
        <f aca="false">U141/1000</f>
        <v>7142.73047477578</v>
      </c>
      <c r="AC141" s="33" t="n">
        <f aca="false">S141/U141</f>
        <v>0.00094569129341199</v>
      </c>
      <c r="AD141" s="33" t="n">
        <f aca="false">T141/U141</f>
        <v>0.000866738359994946</v>
      </c>
    </row>
    <row r="142" s="1" customFormat="true" ht="14.25" hidden="false" customHeight="false" outlineLevel="0" collapsed="false">
      <c r="A142" s="1" t="s">
        <v>29</v>
      </c>
      <c r="B142" s="2" t="n">
        <v>44900</v>
      </c>
      <c r="C142" s="26" t="s">
        <v>30</v>
      </c>
      <c r="D142" s="3" t="n">
        <v>44901</v>
      </c>
      <c r="E142" s="27" t="s">
        <v>35</v>
      </c>
      <c r="F142" s="27" t="s">
        <v>36</v>
      </c>
      <c r="G142" s="1" t="n">
        <v>531172666</v>
      </c>
      <c r="H142" s="4" t="n">
        <v>0.333333333333333</v>
      </c>
      <c r="I142" s="5"/>
      <c r="J142" s="6" t="n">
        <v>12</v>
      </c>
      <c r="K142" s="7" t="n">
        <v>14.09</v>
      </c>
      <c r="L142" s="7" t="n">
        <v>3</v>
      </c>
      <c r="M142" s="7" t="n">
        <v>390</v>
      </c>
      <c r="N142" s="7" t="n">
        <v>7.13</v>
      </c>
      <c r="O142" s="8" t="n">
        <v>47589</v>
      </c>
      <c r="P142" s="30" t="n">
        <f aca="false">(O142*1000)/24/60/60</f>
        <v>550.798611111111</v>
      </c>
      <c r="Q142" s="6" t="s">
        <v>63</v>
      </c>
      <c r="R142" s="6" t="n">
        <v>9.3</v>
      </c>
      <c r="S142" s="9" t="n">
        <v>14710.4469460043</v>
      </c>
      <c r="T142" s="9" t="n">
        <v>12723.7679373313</v>
      </c>
      <c r="U142" s="9" t="n">
        <v>18688851.7643875</v>
      </c>
      <c r="V142" s="10" t="n">
        <f aca="false">S142/1000</f>
        <v>14.7104469460043</v>
      </c>
      <c r="W142" s="10" t="n">
        <f aca="false">T142/1000</f>
        <v>12.7237679373313</v>
      </c>
      <c r="X142" s="10" t="n">
        <f aca="false">U142/1000</f>
        <v>18688.8517643875</v>
      </c>
      <c r="AC142" s="33" t="n">
        <f aca="false">S142/U142</f>
        <v>0.000787124170679961</v>
      </c>
      <c r="AD142" s="33" t="n">
        <f aca="false">T142/U142</f>
        <v>0.000680821277718997</v>
      </c>
    </row>
    <row r="143" s="1" customFormat="true" ht="14.25" hidden="false" customHeight="false" outlineLevel="0" collapsed="false">
      <c r="A143" s="1" t="s">
        <v>29</v>
      </c>
      <c r="B143" s="2" t="n">
        <v>44902</v>
      </c>
      <c r="C143" s="26" t="s">
        <v>30</v>
      </c>
      <c r="D143" s="3" t="n">
        <v>44903</v>
      </c>
      <c r="E143" s="27" t="s">
        <v>31</v>
      </c>
      <c r="F143" s="27" t="s">
        <v>32</v>
      </c>
      <c r="G143" s="1" t="n">
        <v>531171469</v>
      </c>
      <c r="H143" s="4" t="n">
        <v>0.333333333333333</v>
      </c>
      <c r="I143" s="5"/>
      <c r="J143" s="6" t="n">
        <v>12</v>
      </c>
      <c r="K143" s="7" t="n">
        <v>15.4</v>
      </c>
      <c r="L143" s="7" t="n">
        <v>4</v>
      </c>
      <c r="M143" s="7" t="n">
        <v>1070</v>
      </c>
      <c r="N143" s="7" t="n">
        <v>7.85</v>
      </c>
      <c r="O143" s="8" t="n">
        <v>22396</v>
      </c>
      <c r="P143" s="30" t="n">
        <f aca="false">(O143*1000)/24/60/60</f>
        <v>259.212962962963</v>
      </c>
      <c r="Q143" s="6" t="s">
        <v>63</v>
      </c>
      <c r="R143" s="6" t="n">
        <v>21.9</v>
      </c>
      <c r="S143" s="9" t="n">
        <v>12387.9600086844</v>
      </c>
      <c r="T143" s="9" t="n">
        <v>10901.1302048424</v>
      </c>
      <c r="U143" s="9" t="n">
        <v>23142427.9762305</v>
      </c>
      <c r="V143" s="10" t="n">
        <f aca="false">S143/1000</f>
        <v>12.3879600086844</v>
      </c>
      <c r="W143" s="10" t="n">
        <f aca="false">T143/1000</f>
        <v>10.9011302048424</v>
      </c>
      <c r="X143" s="10" t="n">
        <f aca="false">U143/1000</f>
        <v>23142.4279762305</v>
      </c>
      <c r="AC143" s="33" t="n">
        <f aca="false">S143/U143</f>
        <v>0.000535292149181926</v>
      </c>
      <c r="AD143" s="33" t="n">
        <f aca="false">T143/U143</f>
        <v>0.000471045225506974</v>
      </c>
    </row>
    <row r="144" s="1" customFormat="true" ht="14.25" hidden="false" customHeight="false" outlineLevel="0" collapsed="false">
      <c r="A144" s="1" t="s">
        <v>29</v>
      </c>
      <c r="B144" s="2" t="n">
        <v>44902</v>
      </c>
      <c r="C144" s="26" t="s">
        <v>30</v>
      </c>
      <c r="D144" s="3" t="n">
        <v>44903</v>
      </c>
      <c r="E144" s="27" t="s">
        <v>35</v>
      </c>
      <c r="F144" s="27" t="s">
        <v>36</v>
      </c>
      <c r="G144" s="1" t="n">
        <v>531172759</v>
      </c>
      <c r="H144" s="4" t="n">
        <v>0.333333333333333</v>
      </c>
      <c r="I144" s="5"/>
      <c r="J144" s="6" t="n">
        <v>12</v>
      </c>
      <c r="K144" s="7" t="n">
        <v>14.93</v>
      </c>
      <c r="L144" s="7" t="n">
        <v>4</v>
      </c>
      <c r="M144" s="7" t="n">
        <v>580</v>
      </c>
      <c r="N144" s="7" t="n">
        <v>7.45</v>
      </c>
      <c r="O144" s="8" t="n">
        <v>20914</v>
      </c>
      <c r="P144" s="30" t="n">
        <f aca="false">(O144*1000)/24/60/60</f>
        <v>242.060185185185</v>
      </c>
      <c r="Q144" s="6" t="s">
        <v>63</v>
      </c>
      <c r="R144" s="6" t="n">
        <v>9.9</v>
      </c>
      <c r="S144" s="9" t="n">
        <v>24384.5260672579</v>
      </c>
      <c r="T144" s="9" t="n">
        <v>14513.0853862612</v>
      </c>
      <c r="U144" s="9" t="n">
        <v>21688499.5538851</v>
      </c>
      <c r="V144" s="10" t="n">
        <f aca="false">S144/1000</f>
        <v>24.3845260672579</v>
      </c>
      <c r="W144" s="10" t="n">
        <f aca="false">T144/1000</f>
        <v>14.5130853862612</v>
      </c>
      <c r="X144" s="10" t="n">
        <f aca="false">U144/1000</f>
        <v>21688.4995538851</v>
      </c>
      <c r="AC144" s="33" t="n">
        <f aca="false">S144/U144</f>
        <v>0.00112430673254618</v>
      </c>
      <c r="AD144" s="33" t="n">
        <f aca="false">T144/U144</f>
        <v>0.000669160416109163</v>
      </c>
    </row>
    <row r="145" s="11" customFormat="true" ht="14.25" hidden="false" customHeight="false" outlineLevel="0" collapsed="false">
      <c r="A145" s="49" t="s">
        <v>29</v>
      </c>
      <c r="B145" s="2" t="n">
        <v>44907</v>
      </c>
      <c r="C145" s="25" t="s">
        <v>30</v>
      </c>
      <c r="D145" s="2" t="n">
        <v>44908</v>
      </c>
      <c r="E145" s="50" t="s">
        <v>31</v>
      </c>
      <c r="F145" s="50" t="s">
        <v>32</v>
      </c>
      <c r="G145" s="49" t="s">
        <v>65</v>
      </c>
      <c r="H145" s="51" t="n">
        <v>0.333333333333333</v>
      </c>
      <c r="I145" s="52" t="s">
        <v>67</v>
      </c>
      <c r="J145" s="53" t="n">
        <v>12</v>
      </c>
      <c r="K145" s="54" t="n">
        <v>15.2</v>
      </c>
      <c r="L145" s="54" t="n">
        <v>-5</v>
      </c>
      <c r="M145" s="54" t="n">
        <v>1360</v>
      </c>
      <c r="N145" s="54" t="n">
        <v>7.84</v>
      </c>
      <c r="O145" s="54" t="n">
        <v>16849</v>
      </c>
      <c r="P145" s="55" t="n">
        <f aca="false">(O145*1000)/24/60/60</f>
        <v>195.011574074074</v>
      </c>
      <c r="Q145" s="53" t="s">
        <v>63</v>
      </c>
      <c r="R145" s="53" t="n">
        <v>10.1</v>
      </c>
      <c r="S145" s="33" t="n">
        <v>26706.8237511192</v>
      </c>
      <c r="T145" s="33" t="n">
        <v>12051.0204348353</v>
      </c>
      <c r="U145" s="33" t="n">
        <v>20787914.3833859</v>
      </c>
      <c r="V145" s="10" t="n">
        <f aca="false">S145/1000</f>
        <v>26.7068237511192</v>
      </c>
      <c r="W145" s="10" t="n">
        <f aca="false">T145/1000</f>
        <v>12.0510204348353</v>
      </c>
      <c r="X145" s="10" t="n">
        <f aca="false">U145/1000</f>
        <v>20787.9143833859</v>
      </c>
      <c r="Y145" s="49"/>
      <c r="AC145" s="33" t="n">
        <f aca="false">S145/U145</f>
        <v>0.00128472838874417</v>
      </c>
      <c r="AD145" s="33" t="n">
        <f aca="false">T145/U145</f>
        <v>0.00057971281835116</v>
      </c>
    </row>
    <row r="146" s="11" customFormat="true" ht="14.25" hidden="false" customHeight="false" outlineLevel="0" collapsed="false">
      <c r="A146" s="49" t="s">
        <v>29</v>
      </c>
      <c r="B146" s="2" t="n">
        <v>44907</v>
      </c>
      <c r="C146" s="25" t="s">
        <v>30</v>
      </c>
      <c r="D146" s="2" t="n">
        <v>44908</v>
      </c>
      <c r="E146" s="50" t="s">
        <v>35</v>
      </c>
      <c r="F146" s="50" t="s">
        <v>36</v>
      </c>
      <c r="G146" s="49" t="s">
        <v>65</v>
      </c>
      <c r="H146" s="51" t="n">
        <v>0.333333333333333</v>
      </c>
      <c r="I146" s="52" t="s">
        <v>67</v>
      </c>
      <c r="J146" s="53" t="n">
        <v>12</v>
      </c>
      <c r="K146" s="54" t="n">
        <v>15.4</v>
      </c>
      <c r="L146" s="54" t="n">
        <v>-5</v>
      </c>
      <c r="M146" s="54" t="n">
        <v>840</v>
      </c>
      <c r="N146" s="54" t="n">
        <v>6.63</v>
      </c>
      <c r="O146" s="54" t="n">
        <v>19944</v>
      </c>
      <c r="P146" s="55" t="n">
        <f aca="false">(O146*1000)/24/60/60</f>
        <v>230.833333333333</v>
      </c>
      <c r="Q146" s="53" t="s">
        <v>63</v>
      </c>
      <c r="R146" s="53" t="n">
        <v>3.8</v>
      </c>
      <c r="S146" s="33" t="n">
        <v>11084.4037204089</v>
      </c>
      <c r="T146" s="33" t="n">
        <v>7731.64249411948</v>
      </c>
      <c r="U146" s="33" t="n">
        <v>2362116.85905271</v>
      </c>
      <c r="V146" s="10" t="n">
        <f aca="false">S146/1000</f>
        <v>11.0844037204089</v>
      </c>
      <c r="W146" s="10" t="n">
        <f aca="false">T146/1000</f>
        <v>7.73164249411948</v>
      </c>
      <c r="X146" s="10" t="n">
        <f aca="false">U146/1000</f>
        <v>2362.11685905271</v>
      </c>
      <c r="Y146" s="49"/>
      <c r="AC146" s="33" t="n">
        <f aca="false">S146/U146</f>
        <v>0.00469257212145469</v>
      </c>
      <c r="AD146" s="33" t="n">
        <f aca="false">T146/U146</f>
        <v>0.00327318373961402</v>
      </c>
    </row>
    <row r="147" s="11" customFormat="true" ht="14.25" hidden="false" customHeight="false" outlineLevel="0" collapsed="false">
      <c r="A147" s="49" t="s">
        <v>29</v>
      </c>
      <c r="B147" s="2" t="n">
        <v>44909</v>
      </c>
      <c r="C147" s="25" t="s">
        <v>30</v>
      </c>
      <c r="D147" s="2" t="n">
        <v>44910</v>
      </c>
      <c r="E147" s="50" t="s">
        <v>31</v>
      </c>
      <c r="F147" s="50" t="s">
        <v>32</v>
      </c>
      <c r="G147" s="49" t="s">
        <v>65</v>
      </c>
      <c r="H147" s="51" t="n">
        <v>0.333333333333333</v>
      </c>
      <c r="I147" s="52" t="s">
        <v>67</v>
      </c>
      <c r="J147" s="53" t="n">
        <v>12</v>
      </c>
      <c r="K147" s="53" t="n">
        <v>14.7</v>
      </c>
      <c r="L147" s="54" t="n">
        <v>-7</v>
      </c>
      <c r="M147" s="54" t="n">
        <v>1250</v>
      </c>
      <c r="N147" s="54" t="n">
        <v>7.9</v>
      </c>
      <c r="O147" s="54" t="n">
        <v>16703</v>
      </c>
      <c r="P147" s="55" t="n">
        <f aca="false">(O147*1000)/24/60/60</f>
        <v>193.321759259259</v>
      </c>
      <c r="Q147" s="53" t="s">
        <v>63</v>
      </c>
      <c r="R147" s="53" t="n">
        <v>16.8</v>
      </c>
      <c r="S147" s="33" t="n">
        <v>15842.2735326912</v>
      </c>
      <c r="T147" s="33" t="n">
        <v>7731.64249411948</v>
      </c>
      <c r="U147" s="33" t="n">
        <v>4081107.77309514</v>
      </c>
      <c r="V147" s="10" t="n">
        <f aca="false">S147/1000</f>
        <v>15.8422735326912</v>
      </c>
      <c r="W147" s="10" t="n">
        <f aca="false">T147/1000</f>
        <v>7.73164249411948</v>
      </c>
      <c r="X147" s="10" t="n">
        <f aca="false">U147/1000</f>
        <v>4081.10777309514</v>
      </c>
      <c r="Y147" s="49"/>
      <c r="AC147" s="33" t="n">
        <f aca="false">S147/U147</f>
        <v>0.00388185620510489</v>
      </c>
      <c r="AD147" s="33" t="n">
        <f aca="false">T147/U147</f>
        <v>0.00189449603489783</v>
      </c>
    </row>
    <row r="148" s="11" customFormat="true" ht="14.25" hidden="false" customHeight="false" outlineLevel="0" collapsed="false">
      <c r="A148" s="49" t="s">
        <v>29</v>
      </c>
      <c r="B148" s="2" t="n">
        <v>44909</v>
      </c>
      <c r="C148" s="25" t="s">
        <v>30</v>
      </c>
      <c r="D148" s="2" t="n">
        <v>44910</v>
      </c>
      <c r="E148" s="50" t="s">
        <v>35</v>
      </c>
      <c r="F148" s="50" t="s">
        <v>36</v>
      </c>
      <c r="G148" s="49" t="s">
        <v>65</v>
      </c>
      <c r="H148" s="51" t="n">
        <v>0.333333333333333</v>
      </c>
      <c r="I148" s="52" t="s">
        <v>67</v>
      </c>
      <c r="J148" s="53" t="n">
        <v>12</v>
      </c>
      <c r="K148" s="53" t="n">
        <v>15.2</v>
      </c>
      <c r="L148" s="54" t="n">
        <v>-7</v>
      </c>
      <c r="M148" s="54" t="n">
        <v>850</v>
      </c>
      <c r="N148" s="54" t="n">
        <v>7.1</v>
      </c>
      <c r="O148" s="54" t="n">
        <v>19798</v>
      </c>
      <c r="P148" s="55" t="n">
        <f aca="false">(O148*1000)/24/60/60</f>
        <v>229.143518518519</v>
      </c>
      <c r="Q148" s="53" t="s">
        <v>63</v>
      </c>
      <c r="R148" s="53" t="n">
        <v>1</v>
      </c>
      <c r="S148" s="33" t="n">
        <v>34734.1147659397</v>
      </c>
      <c r="T148" s="33" t="n">
        <v>12916.3954222189</v>
      </c>
      <c r="U148" s="33" t="n">
        <v>3741085.91572381</v>
      </c>
      <c r="V148" s="10" t="n">
        <f aca="false">S148/1000</f>
        <v>34.7341147659397</v>
      </c>
      <c r="W148" s="10" t="n">
        <f aca="false">T148/1000</f>
        <v>12.9163954222189</v>
      </c>
      <c r="X148" s="10" t="n">
        <f aca="false">U148/1000</f>
        <v>3741.08591572381</v>
      </c>
      <c r="Y148" s="49"/>
      <c r="AC148" s="33" t="n">
        <f aca="false">S148/U148</f>
        <v>0.00928450069001408</v>
      </c>
      <c r="AD148" s="33" t="n">
        <f aca="false">T148/U148</f>
        <v>0.00345257920111675</v>
      </c>
    </row>
    <row r="149" customFormat="false" ht="14.25" hidden="false" customHeight="false" outlineLevel="0" collapsed="false">
      <c r="A149" s="1" t="s">
        <v>29</v>
      </c>
      <c r="B149" s="2" t="n">
        <v>44914</v>
      </c>
      <c r="C149" s="26" t="s">
        <v>30</v>
      </c>
      <c r="D149" s="3" t="n">
        <v>44915</v>
      </c>
      <c r="E149" s="27" t="s">
        <v>31</v>
      </c>
      <c r="F149" s="27" t="s">
        <v>32</v>
      </c>
      <c r="G149" s="1" t="n">
        <v>531171691</v>
      </c>
      <c r="H149" s="4" t="n">
        <v>0.333333333333333</v>
      </c>
      <c r="I149" s="5" t="s">
        <v>62</v>
      </c>
      <c r="J149" s="6" t="n">
        <v>12</v>
      </c>
      <c r="K149" s="7" t="n">
        <v>11.73</v>
      </c>
      <c r="L149" s="7" t="n">
        <v>11</v>
      </c>
      <c r="M149" s="7" t="n">
        <v>1002</v>
      </c>
      <c r="N149" s="7" t="n">
        <v>7.46</v>
      </c>
      <c r="O149" s="8" t="n">
        <v>41071</v>
      </c>
      <c r="P149" s="30" t="n">
        <f aca="false">(O149*1000)/24/60/60</f>
        <v>475.358796296296</v>
      </c>
      <c r="Q149" s="6" t="s">
        <v>63</v>
      </c>
      <c r="R149" s="6" t="n">
        <v>7.8</v>
      </c>
      <c r="S149" s="9" t="n">
        <v>9453.41416849233</v>
      </c>
      <c r="T149" s="9" t="n">
        <v>7731.64249411948</v>
      </c>
      <c r="U149" s="9" t="n">
        <v>11609043.4058326</v>
      </c>
      <c r="V149" s="10" t="n">
        <f aca="false">S149/1000</f>
        <v>9.45341416849233</v>
      </c>
      <c r="W149" s="10" t="n">
        <f aca="false">T149/1000</f>
        <v>7.73164249411948</v>
      </c>
      <c r="X149" s="10" t="n">
        <f aca="false">U149/1000</f>
        <v>11609.0434058326</v>
      </c>
      <c r="AC149" s="33" t="n">
        <f aca="false">S149/U149</f>
        <v>0.000814314654361852</v>
      </c>
      <c r="AD149" s="33" t="n">
        <f aca="false">T149/U149</f>
        <v>0.000666001687118762</v>
      </c>
    </row>
    <row r="150" customFormat="false" ht="14.25" hidden="false" customHeight="false" outlineLevel="0" collapsed="false">
      <c r="A150" s="1" t="s">
        <v>29</v>
      </c>
      <c r="B150" s="2" t="n">
        <v>44914</v>
      </c>
      <c r="C150" s="26" t="s">
        <v>30</v>
      </c>
      <c r="D150" s="3" t="n">
        <v>44915</v>
      </c>
      <c r="E150" s="27" t="s">
        <v>35</v>
      </c>
      <c r="F150" s="27" t="s">
        <v>36</v>
      </c>
      <c r="G150" s="1" t="n">
        <v>531172999</v>
      </c>
      <c r="H150" s="4" t="n">
        <v>0.333333333333333</v>
      </c>
      <c r="I150" s="5" t="s">
        <v>62</v>
      </c>
      <c r="J150" s="6" t="n">
        <v>12</v>
      </c>
      <c r="K150" s="7" t="n">
        <v>13.87</v>
      </c>
      <c r="L150" s="7" t="n">
        <v>11</v>
      </c>
      <c r="M150" s="7" t="n">
        <v>750</v>
      </c>
      <c r="N150" s="7" t="n">
        <v>7.21</v>
      </c>
      <c r="O150" s="8" t="n">
        <v>41813</v>
      </c>
      <c r="P150" s="30" t="n">
        <f aca="false">(O150*1000)/24/60/60</f>
        <v>483.946759259259</v>
      </c>
      <c r="Q150" s="6" t="s">
        <v>63</v>
      </c>
      <c r="R150" s="6" t="n">
        <v>7.6</v>
      </c>
      <c r="S150" s="9" t="n">
        <v>9759.10382461447</v>
      </c>
      <c r="T150" s="9" t="n">
        <v>13418.5615333152</v>
      </c>
      <c r="U150" s="9" t="n">
        <v>14762466.9043126</v>
      </c>
      <c r="V150" s="10" t="n">
        <f aca="false">S150/1000</f>
        <v>9.75910382461447</v>
      </c>
      <c r="W150" s="10" t="n">
        <f aca="false">T150/1000</f>
        <v>13.4185615333152</v>
      </c>
      <c r="X150" s="10" t="n">
        <f aca="false">U150/1000</f>
        <v>14762.4669043126</v>
      </c>
      <c r="AC150" s="33" t="n">
        <f aca="false">S150/U150</f>
        <v>0.000661075407509536</v>
      </c>
      <c r="AD150" s="33" t="n">
        <f aca="false">T150/U150</f>
        <v>0.000908964715741056</v>
      </c>
    </row>
    <row r="151" customFormat="false" ht="14.25" hidden="false" customHeight="false" outlineLevel="0" collapsed="false">
      <c r="A151" s="1" t="s">
        <v>29</v>
      </c>
      <c r="B151" s="2" t="n">
        <v>44916</v>
      </c>
      <c r="C151" s="26" t="s">
        <v>30</v>
      </c>
      <c r="D151" s="3" t="n">
        <v>44917</v>
      </c>
      <c r="E151" s="27" t="s">
        <v>31</v>
      </c>
      <c r="F151" s="27" t="s">
        <v>32</v>
      </c>
      <c r="G151" s="1" t="n">
        <v>531171646</v>
      </c>
      <c r="H151" s="4" t="n">
        <v>0.333333333333333</v>
      </c>
      <c r="I151" s="5" t="s">
        <v>67</v>
      </c>
      <c r="J151" s="6" t="n">
        <v>12</v>
      </c>
      <c r="K151" s="7" t="n">
        <v>9.9</v>
      </c>
      <c r="L151" s="7" t="n">
        <v>10</v>
      </c>
      <c r="M151" s="7" t="n">
        <v>270</v>
      </c>
      <c r="N151" s="7" t="n">
        <v>6.57</v>
      </c>
      <c r="O151" s="8" t="n">
        <v>31313</v>
      </c>
      <c r="P151" s="30" t="n">
        <f aca="false">(O151*1000)/24/60/60</f>
        <v>362.418981481481</v>
      </c>
      <c r="Q151" s="6" t="s">
        <v>63</v>
      </c>
      <c r="R151" s="6" t="n">
        <v>23.8</v>
      </c>
      <c r="S151" s="9" t="n">
        <v>37019.8375028303</v>
      </c>
      <c r="T151" s="9" t="n">
        <v>42107.0359757363</v>
      </c>
      <c r="U151" s="9" t="n">
        <v>71687147.2674583</v>
      </c>
      <c r="V151" s="10" t="n">
        <f aca="false">S151/1000</f>
        <v>37.0198375028303</v>
      </c>
      <c r="W151" s="10" t="n">
        <f aca="false">T151/1000</f>
        <v>42.1070359757363</v>
      </c>
      <c r="X151" s="10" t="n">
        <f aca="false">U151/1000</f>
        <v>71687.1472674583</v>
      </c>
      <c r="Y151" s="32" t="s">
        <v>68</v>
      </c>
      <c r="AC151" s="33" t="n">
        <f aca="false">S151/U151</f>
        <v>0.000516408295125939</v>
      </c>
      <c r="AD151" s="33" t="n">
        <f aca="false">T151/U151</f>
        <v>0.000587372180101388</v>
      </c>
    </row>
    <row r="152" customFormat="false" ht="14.25" hidden="false" customHeight="false" outlineLevel="0" collapsed="false">
      <c r="A152" s="1" t="s">
        <v>29</v>
      </c>
      <c r="B152" s="2" t="n">
        <v>44916</v>
      </c>
      <c r="C152" s="26" t="s">
        <v>30</v>
      </c>
      <c r="D152" s="3" t="n">
        <v>44917</v>
      </c>
      <c r="E152" s="27" t="s">
        <v>35</v>
      </c>
      <c r="F152" s="27" t="s">
        <v>36</v>
      </c>
      <c r="G152" s="1" t="n">
        <v>531172090</v>
      </c>
      <c r="H152" s="4" t="n">
        <v>0.333333333333333</v>
      </c>
      <c r="I152" s="5" t="s">
        <v>67</v>
      </c>
      <c r="J152" s="6" t="n">
        <v>12</v>
      </c>
      <c r="K152" s="7" t="n">
        <v>13.87</v>
      </c>
      <c r="L152" s="7" t="n">
        <v>10</v>
      </c>
      <c r="M152" s="7" t="n">
        <v>100</v>
      </c>
      <c r="N152" s="7" t="n">
        <v>7.19</v>
      </c>
      <c r="O152" s="8" t="n">
        <v>37060</v>
      </c>
      <c r="P152" s="30" t="n">
        <f aca="false">(O152*1000)/24/60/60</f>
        <v>428.935185185185</v>
      </c>
      <c r="Q152" s="6" t="s">
        <v>63</v>
      </c>
      <c r="R152" s="6" t="n">
        <v>10.2</v>
      </c>
      <c r="S152" s="9" t="n">
        <v>30911.0725656655</v>
      </c>
      <c r="T152" s="9" t="n">
        <v>30926.5699764779</v>
      </c>
      <c r="U152" s="9" t="n">
        <v>10889791.6916363</v>
      </c>
      <c r="V152" s="10" t="n">
        <f aca="false">S152/1000</f>
        <v>30.9110725656655</v>
      </c>
      <c r="W152" s="10" t="n">
        <f aca="false">T152/1000</f>
        <v>30.9265699764779</v>
      </c>
      <c r="X152" s="10" t="n">
        <f aca="false">U152/1000</f>
        <v>10889.7916916363</v>
      </c>
      <c r="Y152" s="32" t="s">
        <v>68</v>
      </c>
      <c r="AC152" s="33" t="n">
        <f aca="false">S152/U152</f>
        <v>0.00283853662594907</v>
      </c>
      <c r="AD152" s="33" t="n">
        <f aca="false">T152/U152</f>
        <v>0.00283995973956328</v>
      </c>
    </row>
    <row r="153" customFormat="false" ht="14.25" hidden="false" customHeight="false" outlineLevel="0" collapsed="false">
      <c r="A153" s="1" t="s">
        <v>29</v>
      </c>
      <c r="B153" s="2" t="n">
        <v>44928</v>
      </c>
      <c r="C153" s="26" t="s">
        <v>30</v>
      </c>
      <c r="D153" s="61" t="n">
        <v>44929</v>
      </c>
      <c r="E153" s="27" t="s">
        <v>31</v>
      </c>
      <c r="F153" s="27" t="s">
        <v>32</v>
      </c>
      <c r="G153" s="1" t="n">
        <v>531171169</v>
      </c>
      <c r="H153" s="4" t="n">
        <v>0.333333333333333</v>
      </c>
      <c r="J153" s="6" t="n">
        <v>12</v>
      </c>
      <c r="K153" s="7" t="n">
        <v>13.74</v>
      </c>
      <c r="L153" s="7" t="n">
        <v>6</v>
      </c>
      <c r="M153" s="7" t="n">
        <v>925</v>
      </c>
      <c r="N153" s="7" t="n">
        <v>7.86</v>
      </c>
      <c r="O153" s="8" t="n">
        <v>39826</v>
      </c>
      <c r="P153" s="30" t="n">
        <f aca="false">(O153*1000)/24/60/60</f>
        <v>460.949074074074</v>
      </c>
      <c r="Q153" s="6" t="s">
        <v>63</v>
      </c>
      <c r="R153" s="6" t="n">
        <v>6.4</v>
      </c>
      <c r="S153" s="9" t="n">
        <v>7727.76814141638</v>
      </c>
      <c r="T153" s="9" t="n">
        <v>7731.64249411948</v>
      </c>
      <c r="U153" s="9" t="n">
        <v>11756801.8403809</v>
      </c>
      <c r="V153" s="10" t="n">
        <f aca="false">S153/1000</f>
        <v>7.72776814141638</v>
      </c>
      <c r="W153" s="10" t="n">
        <f aca="false">T153/1000</f>
        <v>7.73164249411948</v>
      </c>
      <c r="X153" s="10" t="n">
        <f aca="false">U153/1000</f>
        <v>11756.8018403809</v>
      </c>
      <c r="AC153" s="33" t="n">
        <f aca="false">S153/U153</f>
        <v>0.000657301896071257</v>
      </c>
      <c r="AD153" s="33" t="n">
        <f aca="false">T153/U153</f>
        <v>0.000657631437451276</v>
      </c>
    </row>
    <row r="154" customFormat="false" ht="14.25" hidden="false" customHeight="false" outlineLevel="0" collapsed="false">
      <c r="A154" s="1" t="s">
        <v>29</v>
      </c>
      <c r="B154" s="2" t="n">
        <v>44928</v>
      </c>
      <c r="C154" s="26" t="s">
        <v>30</v>
      </c>
      <c r="D154" s="61" t="n">
        <v>44929</v>
      </c>
      <c r="E154" s="27" t="s">
        <v>35</v>
      </c>
      <c r="F154" s="27" t="s">
        <v>36</v>
      </c>
      <c r="G154" s="1" t="n">
        <v>531172502</v>
      </c>
      <c r="H154" s="4" t="n">
        <v>0.333333333333333</v>
      </c>
      <c r="J154" s="6" t="n">
        <v>12</v>
      </c>
      <c r="K154" s="7" t="n">
        <v>14.65</v>
      </c>
      <c r="L154" s="7" t="n">
        <v>6</v>
      </c>
      <c r="M154" s="7" t="n">
        <v>540</v>
      </c>
      <c r="N154" s="7" t="n">
        <v>6.88</v>
      </c>
      <c r="O154" s="8" t="n">
        <v>43578</v>
      </c>
      <c r="P154" s="30" t="n">
        <f aca="false">(O154*1000)/24/60/60</f>
        <v>504.375</v>
      </c>
      <c r="Q154" s="6" t="s">
        <v>63</v>
      </c>
      <c r="R154" s="6" t="n">
        <v>3.7</v>
      </c>
      <c r="S154" s="9" t="n">
        <v>7727.76814141638</v>
      </c>
      <c r="T154" s="9" t="n">
        <v>7731.64249411948</v>
      </c>
      <c r="U154" s="9" t="n">
        <v>4630795.87738357</v>
      </c>
      <c r="V154" s="10" t="n">
        <f aca="false">S154/1000</f>
        <v>7.72776814141638</v>
      </c>
      <c r="W154" s="10" t="n">
        <f aca="false">T154/1000</f>
        <v>7.73164249411948</v>
      </c>
      <c r="X154" s="10" t="n">
        <f aca="false">U154/1000</f>
        <v>4630.79587738357</v>
      </c>
      <c r="AC154" s="33" t="n">
        <f aca="false">S154/U154</f>
        <v>0.00166877753760605</v>
      </c>
      <c r="AD154" s="33" t="n">
        <f aca="false">T154/U154</f>
        <v>0.00166961418702996</v>
      </c>
    </row>
    <row r="155" customFormat="false" ht="14.25" hidden="false" customHeight="false" outlineLevel="0" collapsed="false">
      <c r="A155" s="1" t="s">
        <v>29</v>
      </c>
      <c r="B155" s="2" t="n">
        <v>44930</v>
      </c>
      <c r="C155" s="26" t="s">
        <v>30</v>
      </c>
      <c r="D155" s="3" t="n">
        <v>44931</v>
      </c>
      <c r="E155" s="27" t="s">
        <v>31</v>
      </c>
      <c r="F155" s="27" t="s">
        <v>32</v>
      </c>
      <c r="G155" s="1" t="n">
        <v>531171022</v>
      </c>
      <c r="H155" s="4" t="n">
        <v>0.333333333333333</v>
      </c>
      <c r="J155" s="6" t="n">
        <v>12</v>
      </c>
      <c r="K155" s="7" t="n">
        <v>13.48</v>
      </c>
      <c r="L155" s="7" t="n">
        <v>11</v>
      </c>
      <c r="M155" s="7" t="n">
        <v>880</v>
      </c>
      <c r="N155" s="7" t="n">
        <v>7.83</v>
      </c>
      <c r="O155" s="8" t="n">
        <v>17817</v>
      </c>
      <c r="P155" s="7" t="n">
        <f aca="false">(O155*1000)/24/60/60</f>
        <v>206.215277777778</v>
      </c>
      <c r="Q155" s="6" t="s">
        <v>63</v>
      </c>
      <c r="R155" s="6" t="n">
        <v>42.9</v>
      </c>
      <c r="S155" s="9" t="n">
        <v>30150.6424881526</v>
      </c>
      <c r="T155" s="9" t="n">
        <v>9787.48919090105</v>
      </c>
      <c r="U155" s="9" t="n">
        <v>44551287.7568015</v>
      </c>
      <c r="V155" s="10" t="n">
        <f aca="false">S155/1000</f>
        <v>30.1506424881526</v>
      </c>
      <c r="W155" s="10" t="n">
        <f aca="false">T155/1000</f>
        <v>9.78748919090105</v>
      </c>
      <c r="X155" s="10" t="n">
        <f aca="false">U155/1000</f>
        <v>44551.2877568015</v>
      </c>
      <c r="AC155" s="33" t="n">
        <f aca="false">S155/U155</f>
        <v>0.000676762536085157</v>
      </c>
      <c r="AD155" s="33" t="n">
        <f aca="false">T155/U155</f>
        <v>0.000219690376725571</v>
      </c>
    </row>
    <row r="156" customFormat="false" ht="14.25" hidden="false" customHeight="false" outlineLevel="0" collapsed="false">
      <c r="A156" s="1" t="s">
        <v>29</v>
      </c>
      <c r="B156" s="2" t="n">
        <v>44930</v>
      </c>
      <c r="C156" s="26" t="s">
        <v>30</v>
      </c>
      <c r="D156" s="3" t="n">
        <v>44931</v>
      </c>
      <c r="E156" s="27" t="s">
        <v>35</v>
      </c>
      <c r="F156" s="27" t="s">
        <v>36</v>
      </c>
      <c r="G156" s="1" t="n">
        <v>531172128</v>
      </c>
      <c r="H156" s="4" t="n">
        <v>0.333333333333333</v>
      </c>
      <c r="J156" s="6" t="n">
        <v>12</v>
      </c>
      <c r="K156" s="7" t="n">
        <v>15.2</v>
      </c>
      <c r="L156" s="7" t="n">
        <v>11</v>
      </c>
      <c r="M156" s="7" t="n">
        <v>730</v>
      </c>
      <c r="N156" s="7" t="n">
        <v>6.2</v>
      </c>
      <c r="O156" s="8" t="n">
        <v>19820</v>
      </c>
      <c r="P156" s="7" t="n">
        <f aca="false">(O156*1000)/24/60/60</f>
        <v>229.398148148148</v>
      </c>
      <c r="Q156" s="6" t="s">
        <v>63</v>
      </c>
      <c r="R156" s="6" t="n">
        <v>30.9</v>
      </c>
      <c r="S156" s="9" t="n">
        <v>41448.5269517564</v>
      </c>
      <c r="T156" s="9" t="n">
        <v>23943.4740144044</v>
      </c>
      <c r="U156" s="9" t="n">
        <v>58349778.4555403</v>
      </c>
      <c r="V156" s="10" t="n">
        <f aca="false">S156/1000</f>
        <v>41.4485269517564</v>
      </c>
      <c r="W156" s="10" t="n">
        <f aca="false">T156/1000</f>
        <v>23.9434740144044</v>
      </c>
      <c r="X156" s="10" t="n">
        <f aca="false">U156/1000</f>
        <v>58349.7784555403</v>
      </c>
      <c r="AC156" s="33" t="n">
        <f aca="false">S156/U156</f>
        <v>0.000710345918165536</v>
      </c>
      <c r="AD156" s="33" t="n">
        <f aca="false">T156/U156</f>
        <v>0.00041034387187345</v>
      </c>
    </row>
    <row r="157" customFormat="false" ht="14.25" hidden="false" customHeight="false" outlineLevel="0" collapsed="false">
      <c r="A157" s="1" t="s">
        <v>29</v>
      </c>
      <c r="B157" s="2" t="n">
        <v>44935</v>
      </c>
      <c r="C157" s="26" t="s">
        <v>30</v>
      </c>
      <c r="D157" s="3" t="n">
        <v>44936.012025463</v>
      </c>
      <c r="E157" s="27" t="s">
        <v>31</v>
      </c>
      <c r="F157" s="27" t="s">
        <v>32</v>
      </c>
      <c r="G157" s="1" t="n">
        <v>531171934</v>
      </c>
      <c r="H157" s="4" t="n">
        <v>0.333333333333333</v>
      </c>
      <c r="J157" s="6" t="n">
        <v>12</v>
      </c>
      <c r="K157" s="7" t="n">
        <v>13.91</v>
      </c>
      <c r="L157" s="7" t="n">
        <v>5</v>
      </c>
      <c r="M157" s="7" t="n">
        <v>1040</v>
      </c>
      <c r="N157" s="7" t="n">
        <v>8</v>
      </c>
      <c r="O157" s="8" t="n">
        <v>19461</v>
      </c>
      <c r="P157" s="7" t="n">
        <f aca="false">(O157*1000)/24/60/60</f>
        <v>225.243055555556</v>
      </c>
      <c r="Q157" s="6" t="s">
        <v>63</v>
      </c>
      <c r="R157" s="6" t="n">
        <v>19.5</v>
      </c>
      <c r="S157" s="9" t="n">
        <v>6542.63609304288</v>
      </c>
      <c r="T157" s="9" t="n">
        <v>8480.21671392682</v>
      </c>
      <c r="U157" s="9" t="n">
        <v>20224328.50922</v>
      </c>
      <c r="V157" s="10" t="n">
        <f aca="false">S157/1000</f>
        <v>6.54263609304288</v>
      </c>
      <c r="W157" s="10" t="n">
        <f aca="false">T157/1000</f>
        <v>8.48021671392682</v>
      </c>
      <c r="X157" s="10" t="n">
        <f aca="false">U157/1000</f>
        <v>20224.32850922</v>
      </c>
      <c r="AC157" s="33"/>
      <c r="AD157" s="33"/>
    </row>
    <row r="158" customFormat="false" ht="14.25" hidden="false" customHeight="false" outlineLevel="0" collapsed="false">
      <c r="A158" s="1" t="s">
        <v>29</v>
      </c>
      <c r="B158" s="2" t="n">
        <v>44935</v>
      </c>
      <c r="C158" s="26" t="s">
        <v>30</v>
      </c>
      <c r="D158" s="3" t="n">
        <v>44936</v>
      </c>
      <c r="E158" s="27" t="s">
        <v>35</v>
      </c>
      <c r="F158" s="27" t="s">
        <v>36</v>
      </c>
      <c r="G158" s="1" t="n">
        <v>531172282</v>
      </c>
      <c r="H158" s="4" t="n">
        <v>0.333333333333333</v>
      </c>
      <c r="J158" s="6" t="n">
        <v>12</v>
      </c>
      <c r="K158" s="7" t="n">
        <v>14.91</v>
      </c>
      <c r="L158" s="7" t="n">
        <v>5</v>
      </c>
      <c r="M158" s="7" t="n">
        <v>700</v>
      </c>
      <c r="N158" s="7" t="n">
        <v>7.09</v>
      </c>
      <c r="O158" s="8" t="n">
        <v>19763</v>
      </c>
      <c r="P158" s="7" t="n">
        <f aca="false">(O158*1000)/24/60/60</f>
        <v>228.738425925926</v>
      </c>
      <c r="Q158" s="6" t="s">
        <v>63</v>
      </c>
      <c r="R158" s="6" t="n">
        <v>24.7</v>
      </c>
      <c r="S158" s="9" t="n">
        <v>6542.63609304288</v>
      </c>
      <c r="T158" s="9" t="n">
        <v>8480.21671392682</v>
      </c>
      <c r="U158" s="9" t="n">
        <v>19991778.4396148</v>
      </c>
      <c r="V158" s="10" t="n">
        <f aca="false">S158/1000</f>
        <v>6.54263609304288</v>
      </c>
      <c r="W158" s="10" t="n">
        <f aca="false">T158/1000</f>
        <v>8.48021671392682</v>
      </c>
      <c r="X158" s="10" t="n">
        <f aca="false">U158/1000</f>
        <v>19991.7784396148</v>
      </c>
      <c r="AC158" s="33"/>
      <c r="AD158" s="33"/>
    </row>
    <row r="159" customFormat="false" ht="14.25" hidden="false" customHeight="false" outlineLevel="0" collapsed="false">
      <c r="A159" s="1" t="s">
        <v>29</v>
      </c>
      <c r="B159" s="2" t="n">
        <v>44937</v>
      </c>
      <c r="C159" s="26" t="s">
        <v>30</v>
      </c>
      <c r="D159" s="3" t="n">
        <v>44938</v>
      </c>
      <c r="E159" s="27" t="s">
        <v>31</v>
      </c>
      <c r="F159" s="27" t="s">
        <v>32</v>
      </c>
      <c r="G159" s="1" t="n">
        <v>531171074</v>
      </c>
      <c r="H159" s="4" t="n">
        <v>0.333333333333333</v>
      </c>
      <c r="I159" s="5" t="s">
        <v>67</v>
      </c>
      <c r="J159" s="6" t="n">
        <v>12</v>
      </c>
      <c r="K159" s="7" t="n">
        <v>13.3</v>
      </c>
      <c r="L159" s="7" t="n">
        <v>9</v>
      </c>
      <c r="M159" s="7" t="n">
        <v>960</v>
      </c>
      <c r="N159" s="7" t="n">
        <v>7.94</v>
      </c>
      <c r="O159" s="8" t="n">
        <v>52442</v>
      </c>
      <c r="P159" s="7" t="n">
        <f aca="false">(O159*1000)/24/60/60</f>
        <v>606.967592592593</v>
      </c>
      <c r="Q159" s="6" t="s">
        <v>63</v>
      </c>
      <c r="R159" s="6" t="n">
        <v>19</v>
      </c>
      <c r="S159" s="9" t="n">
        <v>6542.63609304288</v>
      </c>
      <c r="T159" s="9" t="n">
        <v>8480.21671392682</v>
      </c>
      <c r="U159" s="9" t="n">
        <v>7567391.93657706</v>
      </c>
      <c r="V159" s="10" t="n">
        <f aca="false">S159/1000</f>
        <v>6.54263609304288</v>
      </c>
      <c r="W159" s="10" t="n">
        <f aca="false">T159/1000</f>
        <v>8.48021671392682</v>
      </c>
      <c r="X159" s="10" t="n">
        <f aca="false">U159/1000</f>
        <v>7567.39193657706</v>
      </c>
      <c r="AC159" s="33"/>
      <c r="AD159" s="33"/>
    </row>
    <row r="160" customFormat="false" ht="14.25" hidden="false" customHeight="false" outlineLevel="0" collapsed="false">
      <c r="A160" s="1" t="s">
        <v>29</v>
      </c>
      <c r="B160" s="2" t="n">
        <v>44937</v>
      </c>
      <c r="C160" s="26" t="s">
        <v>30</v>
      </c>
      <c r="D160" s="3" t="n">
        <v>44938</v>
      </c>
      <c r="E160" s="27" t="s">
        <v>35</v>
      </c>
      <c r="F160" s="27" t="s">
        <v>36</v>
      </c>
      <c r="G160" s="1" t="n">
        <v>531172396</v>
      </c>
      <c r="H160" s="4" t="n">
        <v>0.333333333333333</v>
      </c>
      <c r="I160" s="5" t="s">
        <v>67</v>
      </c>
      <c r="J160" s="6" t="n">
        <v>12</v>
      </c>
      <c r="K160" s="7" t="n">
        <v>14.4</v>
      </c>
      <c r="L160" s="7" t="n">
        <v>9</v>
      </c>
      <c r="M160" s="7" t="n">
        <v>570</v>
      </c>
      <c r="N160" s="7" t="n">
        <v>6.81</v>
      </c>
      <c r="O160" s="8" t="n">
        <v>49267</v>
      </c>
      <c r="P160" s="7" t="n">
        <f aca="false">(O160*1000)/24/60/60</f>
        <v>570.219907407407</v>
      </c>
      <c r="Q160" s="6" t="s">
        <v>63</v>
      </c>
      <c r="R160" s="6" t="n">
        <v>7.1</v>
      </c>
      <c r="S160" s="9" t="n">
        <v>6542.63609304288</v>
      </c>
      <c r="T160" s="9" t="n">
        <v>8480.21671392682</v>
      </c>
      <c r="U160" s="9" t="n">
        <v>17535885.9518601</v>
      </c>
      <c r="V160" s="10" t="n">
        <f aca="false">S160/1000</f>
        <v>6.54263609304288</v>
      </c>
      <c r="W160" s="10" t="n">
        <f aca="false">T160/1000</f>
        <v>8.48021671392682</v>
      </c>
      <c r="X160" s="10" t="n">
        <f aca="false">U160/1000</f>
        <v>17535.8859518601</v>
      </c>
      <c r="AC160" s="33"/>
      <c r="AD160" s="33"/>
    </row>
    <row r="161" customFormat="false" ht="14.25" hidden="false" customHeight="false" outlineLevel="0" collapsed="false">
      <c r="A161" s="1" t="s">
        <v>29</v>
      </c>
      <c r="B161" s="2" t="n">
        <v>44942</v>
      </c>
      <c r="C161" s="26" t="s">
        <v>30</v>
      </c>
      <c r="D161" s="3" t="n">
        <v>44943</v>
      </c>
      <c r="E161" s="27" t="s">
        <v>31</v>
      </c>
      <c r="F161" s="27" t="s">
        <v>32</v>
      </c>
      <c r="G161" s="1" t="n">
        <v>531171595</v>
      </c>
      <c r="H161" s="4" t="n">
        <v>0.333333333333333</v>
      </c>
      <c r="I161" s="5" t="s">
        <v>62</v>
      </c>
      <c r="J161" s="6" t="n">
        <v>12</v>
      </c>
      <c r="K161" s="7" t="n">
        <v>12.43</v>
      </c>
      <c r="L161" s="7" t="n">
        <v>1</v>
      </c>
      <c r="M161" s="7" t="n">
        <v>770</v>
      </c>
      <c r="N161" s="7" t="n">
        <v>7.87</v>
      </c>
      <c r="O161" s="8" t="n">
        <v>32756</v>
      </c>
      <c r="P161" s="7" t="n">
        <f aca="false">(O161*1000)/24/60/60</f>
        <v>379.12037037037</v>
      </c>
      <c r="Q161" s="6" t="s">
        <v>63</v>
      </c>
      <c r="R161" s="6" t="n">
        <v>6.4</v>
      </c>
      <c r="S161" s="9" t="n">
        <v>8566.48003055999</v>
      </c>
      <c r="T161" s="9" t="n">
        <v>8480.21671392682</v>
      </c>
      <c r="U161" s="9" t="n">
        <v>35049586.8152888</v>
      </c>
      <c r="V161" s="10" t="n">
        <f aca="false">S161/1000</f>
        <v>8.56648003055999</v>
      </c>
      <c r="W161" s="10" t="n">
        <f aca="false">T161/1000</f>
        <v>8.48021671392682</v>
      </c>
      <c r="X161" s="10" t="n">
        <f aca="false">U161/1000</f>
        <v>35049.5868152887</v>
      </c>
    </row>
    <row r="162" customFormat="false" ht="14.25" hidden="false" customHeight="false" outlineLevel="0" collapsed="false">
      <c r="A162" s="1" t="s">
        <v>29</v>
      </c>
      <c r="B162" s="2" t="n">
        <v>44942</v>
      </c>
      <c r="C162" s="26" t="s">
        <v>30</v>
      </c>
      <c r="D162" s="3" t="n">
        <v>44943</v>
      </c>
      <c r="E162" s="27" t="s">
        <v>35</v>
      </c>
      <c r="F162" s="27" t="s">
        <v>36</v>
      </c>
      <c r="G162" s="1" t="n">
        <v>531172174</v>
      </c>
      <c r="H162" s="4" t="n">
        <v>0.333333333333333</v>
      </c>
      <c r="I162" s="5" t="s">
        <v>62</v>
      </c>
      <c r="J162" s="6" t="n">
        <v>12</v>
      </c>
      <c r="K162" s="7" t="n">
        <v>13.01</v>
      </c>
      <c r="L162" s="7" t="n">
        <v>1</v>
      </c>
      <c r="M162" s="7" t="n">
        <v>450</v>
      </c>
      <c r="N162" s="7" t="n">
        <v>6.98</v>
      </c>
      <c r="O162" s="8" t="n">
        <v>25188</v>
      </c>
      <c r="P162" s="7" t="n">
        <f aca="false">(O162*1000)/24/60/60</f>
        <v>291.527777777778</v>
      </c>
      <c r="Q162" s="6" t="s">
        <v>63</v>
      </c>
      <c r="R162" s="6" t="n">
        <v>3.4</v>
      </c>
      <c r="S162" s="9" t="n">
        <v>8566.48003055999</v>
      </c>
      <c r="T162" s="9" t="n">
        <v>8480.21671392682</v>
      </c>
      <c r="U162" s="9" t="n">
        <v>35472715.5519596</v>
      </c>
      <c r="V162" s="10" t="n">
        <f aca="false">S162/1000</f>
        <v>8.56648003055999</v>
      </c>
      <c r="W162" s="10" t="n">
        <f aca="false">T162/1000</f>
        <v>8.48021671392682</v>
      </c>
      <c r="X162" s="10" t="n">
        <f aca="false">U162/1000</f>
        <v>35472.7155519596</v>
      </c>
    </row>
    <row r="163" customFormat="false" ht="14.25" hidden="false" customHeight="false" outlineLevel="0" collapsed="false">
      <c r="A163" s="1" t="s">
        <v>29</v>
      </c>
      <c r="B163" s="2" t="n">
        <v>44944</v>
      </c>
      <c r="C163" s="26" t="s">
        <v>30</v>
      </c>
      <c r="D163" s="3" t="n">
        <v>44945</v>
      </c>
      <c r="E163" s="27" t="s">
        <v>31</v>
      </c>
      <c r="F163" s="27" t="s">
        <v>32</v>
      </c>
      <c r="G163" s="1" t="n">
        <v>531171512</v>
      </c>
      <c r="H163" s="4" t="n">
        <v>0.333333333333333</v>
      </c>
      <c r="I163" s="5" t="s">
        <v>62</v>
      </c>
      <c r="J163" s="6" t="n">
        <v>12</v>
      </c>
      <c r="K163" s="7" t="n">
        <v>14.3</v>
      </c>
      <c r="L163" s="7" t="n">
        <v>1</v>
      </c>
      <c r="M163" s="7" t="n">
        <v>1370</v>
      </c>
      <c r="N163" s="7" t="n">
        <v>7.99</v>
      </c>
      <c r="O163" s="8" t="n">
        <v>19443</v>
      </c>
      <c r="P163" s="7" t="n">
        <f aca="false">(O163*1000)/24/60/60</f>
        <v>225.034722222222</v>
      </c>
      <c r="Q163" s="6" t="s">
        <v>60</v>
      </c>
      <c r="R163" s="6" t="n">
        <v>10</v>
      </c>
      <c r="S163" s="9" t="n">
        <v>10390.0842424061</v>
      </c>
      <c r="T163" s="9" t="n">
        <v>8480.21671392682</v>
      </c>
      <c r="U163" s="9" t="n">
        <v>19545866.3655813</v>
      </c>
      <c r="V163" s="10" t="n">
        <f aca="false">S163/1000</f>
        <v>10.3900842424061</v>
      </c>
      <c r="W163" s="10" t="n">
        <f aca="false">T163/1000</f>
        <v>8.48021671392682</v>
      </c>
      <c r="X163" s="10" t="n">
        <f aca="false">U163/1000</f>
        <v>19545.8663655813</v>
      </c>
    </row>
    <row r="164" customFormat="false" ht="14.25" hidden="false" customHeight="false" outlineLevel="0" collapsed="false">
      <c r="A164" s="1" t="s">
        <v>29</v>
      </c>
      <c r="B164" s="2" t="n">
        <v>44944</v>
      </c>
      <c r="C164" s="26" t="s">
        <v>30</v>
      </c>
      <c r="D164" s="3" t="n">
        <v>44945</v>
      </c>
      <c r="E164" s="27" t="s">
        <v>35</v>
      </c>
      <c r="F164" s="27" t="s">
        <v>36</v>
      </c>
      <c r="G164" s="1" t="n">
        <v>531172319</v>
      </c>
      <c r="H164" s="4" t="n">
        <v>0.333333333333333</v>
      </c>
      <c r="I164" s="5" t="s">
        <v>62</v>
      </c>
      <c r="J164" s="6" t="n">
        <v>12</v>
      </c>
      <c r="K164" s="7" t="n">
        <v>12.95</v>
      </c>
      <c r="L164" s="7" t="n">
        <v>1</v>
      </c>
      <c r="M164" s="7" t="n">
        <v>480</v>
      </c>
      <c r="N164" s="7" t="n">
        <v>7.08</v>
      </c>
      <c r="O164" s="8" t="n">
        <v>25877</v>
      </c>
      <c r="P164" s="7" t="n">
        <f aca="false">(O164*1000)/24/60/60</f>
        <v>299.502314814815</v>
      </c>
      <c r="Q164" s="6" t="s">
        <v>60</v>
      </c>
      <c r="R164" s="6" t="n">
        <v>2.3</v>
      </c>
      <c r="S164" s="9" t="n">
        <v>8566.48003055999</v>
      </c>
      <c r="T164" s="9" t="n">
        <v>8480.21671392682</v>
      </c>
      <c r="U164" s="9" t="n">
        <v>9214366.34173806</v>
      </c>
      <c r="V164" s="10" t="n">
        <f aca="false">S164/1000</f>
        <v>8.56648003055999</v>
      </c>
      <c r="W164" s="10" t="n">
        <f aca="false">T164/1000</f>
        <v>8.48021671392682</v>
      </c>
      <c r="X164" s="10" t="n">
        <f aca="false">U164/1000</f>
        <v>9214.36634173806</v>
      </c>
    </row>
    <row r="165" customFormat="false" ht="14.25" hidden="false" customHeight="false" outlineLevel="0" collapsed="false">
      <c r="A165" s="1" t="s">
        <v>29</v>
      </c>
      <c r="B165" s="2" t="n">
        <v>44949</v>
      </c>
      <c r="C165" s="26" t="s">
        <v>30</v>
      </c>
      <c r="D165" s="3" t="n">
        <v>44950</v>
      </c>
      <c r="E165" s="1" t="s">
        <v>54</v>
      </c>
      <c r="F165" s="27" t="s">
        <v>55</v>
      </c>
      <c r="G165" s="1" t="n">
        <v>531173719</v>
      </c>
      <c r="H165" s="4" t="n">
        <v>0.333333333333333</v>
      </c>
      <c r="J165" s="6" t="n">
        <v>12</v>
      </c>
      <c r="K165" s="7" t="n">
        <v>15.13</v>
      </c>
      <c r="L165" s="7" t="n">
        <v>2</v>
      </c>
      <c r="M165" s="7" t="n">
        <v>850</v>
      </c>
      <c r="N165" s="7" t="n">
        <v>7.27</v>
      </c>
      <c r="O165" s="8" t="n">
        <v>39230</v>
      </c>
      <c r="P165" s="7" t="n">
        <f aca="false">(O165*1000)/24/60/60</f>
        <v>454.050925925926</v>
      </c>
      <c r="Q165" s="6" t="s">
        <v>63</v>
      </c>
      <c r="R165" s="6" t="n">
        <v>9</v>
      </c>
      <c r="S165" s="9" t="n">
        <v>12829.1101161556</v>
      </c>
      <c r="T165" s="9" t="n">
        <v>10256.1430748334</v>
      </c>
      <c r="U165" s="9" t="n">
        <v>43586369.2735735</v>
      </c>
      <c r="V165" s="10" t="n">
        <f aca="false">S165/1000</f>
        <v>12.8291101161556</v>
      </c>
      <c r="W165" s="10" t="n">
        <f aca="false">T165/1000</f>
        <v>10.2561430748334</v>
      </c>
      <c r="X165" s="10" t="n">
        <f aca="false">U165/1000</f>
        <v>43586.3692735735</v>
      </c>
    </row>
    <row r="166" customFormat="false" ht="14.25" hidden="false" customHeight="false" outlineLevel="0" collapsed="false">
      <c r="A166" s="1" t="s">
        <v>29</v>
      </c>
      <c r="B166" s="2" t="n">
        <v>44951</v>
      </c>
      <c r="C166" s="26" t="s">
        <v>30</v>
      </c>
      <c r="D166" s="3" t="n">
        <v>44952</v>
      </c>
      <c r="E166" s="1" t="s">
        <v>54</v>
      </c>
      <c r="F166" s="27" t="s">
        <v>55</v>
      </c>
      <c r="G166" s="1" t="n">
        <v>531173280</v>
      </c>
      <c r="H166" s="4" t="n">
        <v>0.333333333333333</v>
      </c>
      <c r="J166" s="6" t="n">
        <v>12</v>
      </c>
      <c r="K166" s="7" t="n">
        <v>14.37</v>
      </c>
      <c r="L166" s="7" t="n">
        <v>-2</v>
      </c>
      <c r="M166" s="7" t="n">
        <v>740</v>
      </c>
      <c r="N166" s="7" t="n">
        <v>6.85</v>
      </c>
      <c r="O166" s="8" t="n">
        <v>36815</v>
      </c>
      <c r="P166" s="7" t="n">
        <f aca="false">(O166*1000)/24/60/60</f>
        <v>426.099537037037</v>
      </c>
      <c r="Q166" s="6" t="s">
        <v>63</v>
      </c>
      <c r="R166" s="6" t="n">
        <v>4</v>
      </c>
      <c r="S166" s="9" t="n">
        <v>8566.48003055999</v>
      </c>
      <c r="T166" s="9" t="n">
        <v>8480.21671392682</v>
      </c>
      <c r="U166" s="9" t="n">
        <v>22498623.9048349</v>
      </c>
      <c r="V166" s="10" t="n">
        <f aca="false">S166/1000</f>
        <v>8.56648003055999</v>
      </c>
      <c r="W166" s="10" t="n">
        <f aca="false">T166/1000</f>
        <v>8.48021671392682</v>
      </c>
      <c r="X166" s="10" t="n">
        <f aca="false">U166/1000</f>
        <v>22498.6239048349</v>
      </c>
    </row>
    <row r="167" customFormat="false" ht="14.25" hidden="false" customHeight="false" outlineLevel="0" collapsed="false">
      <c r="A167" s="1" t="s">
        <v>29</v>
      </c>
      <c r="B167" s="2" t="n">
        <v>44956</v>
      </c>
      <c r="C167" s="26" t="s">
        <v>30</v>
      </c>
      <c r="D167" s="3" t="n">
        <v>44957</v>
      </c>
      <c r="E167" s="27" t="s">
        <v>31</v>
      </c>
      <c r="F167" s="27" t="s">
        <v>32</v>
      </c>
      <c r="G167" s="1" t="n">
        <v>531171903</v>
      </c>
      <c r="H167" s="4" t="n">
        <v>0.333333333333333</v>
      </c>
      <c r="J167" s="6" t="n">
        <v>12</v>
      </c>
      <c r="K167" s="7" t="n">
        <v>11.94</v>
      </c>
      <c r="L167" s="7" t="n">
        <v>4</v>
      </c>
      <c r="M167" s="7" t="n">
        <v>1070</v>
      </c>
      <c r="N167" s="7" t="n">
        <v>7.94</v>
      </c>
      <c r="O167" s="8" t="n">
        <v>18286</v>
      </c>
      <c r="P167" s="7" t="n">
        <f aca="false">(O167*1000)/24/60/60</f>
        <v>211.643518518519</v>
      </c>
      <c r="Q167" s="6" t="s">
        <v>63</v>
      </c>
      <c r="R167" s="6" t="n">
        <v>15.8</v>
      </c>
      <c r="S167" s="9" t="n">
        <v>34549.8451016169</v>
      </c>
      <c r="T167" s="9" t="n">
        <v>11807.3464807058</v>
      </c>
      <c r="U167" s="9" t="n">
        <v>41886357.006421</v>
      </c>
      <c r="V167" s="10" t="n">
        <f aca="false">S167/1000</f>
        <v>34.5498451016169</v>
      </c>
      <c r="W167" s="10" t="n">
        <f aca="false">T167/1000</f>
        <v>11.8073464807058</v>
      </c>
      <c r="X167" s="10" t="n">
        <f aca="false">U167/1000</f>
        <v>41886.357006421</v>
      </c>
      <c r="FC167" s="0" t="s">
        <v>69</v>
      </c>
    </row>
    <row r="168" customFormat="false" ht="14.25" hidden="false" customHeight="false" outlineLevel="0" collapsed="false">
      <c r="A168" s="1" t="s">
        <v>29</v>
      </c>
      <c r="B168" s="2" t="n">
        <v>44956</v>
      </c>
      <c r="C168" s="26" t="s">
        <v>30</v>
      </c>
      <c r="D168" s="3" t="n">
        <v>44957</v>
      </c>
      <c r="E168" s="27" t="s">
        <v>35</v>
      </c>
      <c r="F168" s="27" t="s">
        <v>36</v>
      </c>
      <c r="G168" s="1" t="n">
        <v>531172499</v>
      </c>
      <c r="H168" s="4" t="n">
        <v>0.333333333333333</v>
      </c>
      <c r="J168" s="6" t="n">
        <v>12</v>
      </c>
      <c r="K168" s="7" t="n">
        <v>14.2</v>
      </c>
      <c r="L168" s="7" t="n">
        <v>4</v>
      </c>
      <c r="M168" s="7" t="n">
        <v>680</v>
      </c>
      <c r="N168" s="7" t="n">
        <v>7.17</v>
      </c>
      <c r="O168" s="8" t="n">
        <v>18548</v>
      </c>
      <c r="P168" s="7" t="n">
        <f aca="false">(O168*1000)/24/60/60</f>
        <v>214.675925925926</v>
      </c>
      <c r="Q168" s="6" t="s">
        <v>63</v>
      </c>
      <c r="R168" s="6" t="n">
        <v>21</v>
      </c>
      <c r="S168" s="9" t="n">
        <v>70217.5057729534</v>
      </c>
      <c r="T168" s="9" t="n">
        <v>56181.1378874964</v>
      </c>
      <c r="U168" s="9" t="n">
        <v>23156584.7606418</v>
      </c>
      <c r="V168" s="10" t="n">
        <f aca="false">S168/1000</f>
        <v>70.2175057729534</v>
      </c>
      <c r="W168" s="10" t="n">
        <f aca="false">T168/1000</f>
        <v>56.1811378874964</v>
      </c>
      <c r="X168" s="10" t="n">
        <f aca="false">U168/1000</f>
        <v>23156.5847606418</v>
      </c>
    </row>
    <row r="169" customFormat="false" ht="14.25" hidden="false" customHeight="false" outlineLevel="0" collapsed="false">
      <c r="A169" s="1" t="s">
        <v>29</v>
      </c>
      <c r="B169" s="2" t="n">
        <v>44958</v>
      </c>
      <c r="C169" s="26" t="s">
        <v>30</v>
      </c>
      <c r="D169" s="3" t="n">
        <v>44959</v>
      </c>
      <c r="E169" s="27" t="s">
        <v>31</v>
      </c>
      <c r="F169" s="27" t="s">
        <v>32</v>
      </c>
      <c r="G169" s="1" t="n">
        <v>531171522</v>
      </c>
      <c r="H169" s="4" t="n">
        <v>0.333333333333333</v>
      </c>
      <c r="I169" s="5" t="s">
        <v>62</v>
      </c>
      <c r="J169" s="6" t="n">
        <v>12</v>
      </c>
      <c r="K169" s="7" t="n">
        <v>13.56</v>
      </c>
      <c r="L169" s="7" t="n">
        <v>7</v>
      </c>
      <c r="M169" s="7" t="n">
        <v>1190</v>
      </c>
      <c r="N169" s="7" t="n">
        <v>7.95</v>
      </c>
      <c r="O169" s="8" t="n">
        <v>20111</v>
      </c>
      <c r="P169" s="7" t="n">
        <f aca="false">(O169*1000)/24/60/60</f>
        <v>232.766203703704</v>
      </c>
      <c r="Q169" s="6" t="s">
        <v>60</v>
      </c>
      <c r="R169" s="6" t="n">
        <v>22</v>
      </c>
      <c r="S169" s="9" t="n">
        <v>45459.1918560932</v>
      </c>
      <c r="T169" s="9" t="n">
        <v>20813.9478004862</v>
      </c>
      <c r="U169" s="9" t="n">
        <v>16778251.1771036</v>
      </c>
      <c r="V169" s="10" t="n">
        <f aca="false">S169/1000</f>
        <v>45.4591918560932</v>
      </c>
      <c r="W169" s="10" t="n">
        <f aca="false">T169/1000</f>
        <v>20.8139478004862</v>
      </c>
      <c r="X169" s="10" t="n">
        <f aca="false">U169/1000</f>
        <v>16778.2511771036</v>
      </c>
    </row>
    <row r="170" customFormat="false" ht="14.25" hidden="false" customHeight="false" outlineLevel="0" collapsed="false">
      <c r="A170" s="1" t="s">
        <v>29</v>
      </c>
      <c r="B170" s="2" t="n">
        <v>44958</v>
      </c>
      <c r="C170" s="26" t="s">
        <v>30</v>
      </c>
      <c r="D170" s="3" t="n">
        <v>44959</v>
      </c>
      <c r="E170" s="27" t="s">
        <v>35</v>
      </c>
      <c r="F170" s="27" t="s">
        <v>36</v>
      </c>
      <c r="G170" s="1" t="n">
        <v>531172159</v>
      </c>
      <c r="H170" s="4" t="n">
        <v>0.333333333333333</v>
      </c>
      <c r="I170" s="5" t="s">
        <v>62</v>
      </c>
      <c r="J170" s="6" t="n">
        <v>12</v>
      </c>
      <c r="K170" s="7" t="n">
        <v>14.22</v>
      </c>
      <c r="L170" s="7" t="n">
        <v>7</v>
      </c>
      <c r="M170" s="7" t="n">
        <v>640</v>
      </c>
      <c r="N170" s="7" t="n">
        <v>7.02</v>
      </c>
      <c r="O170" s="8" t="n">
        <v>23220</v>
      </c>
      <c r="P170" s="7" t="n">
        <f aca="false">(O170*1000)/24/60/60</f>
        <v>268.75</v>
      </c>
      <c r="Q170" s="6" t="s">
        <v>60</v>
      </c>
      <c r="R170" s="6" t="n">
        <v>3.7</v>
      </c>
      <c r="S170" s="9" t="n">
        <v>14225.2547736888</v>
      </c>
      <c r="T170" s="9" t="n">
        <v>17029.0226641146</v>
      </c>
      <c r="U170" s="9" t="n">
        <v>16317520.4004307</v>
      </c>
      <c r="V170" s="10" t="n">
        <f aca="false">S170/1000</f>
        <v>14.2252547736888</v>
      </c>
      <c r="W170" s="10" t="n">
        <f aca="false">T170/1000</f>
        <v>17.0290226641146</v>
      </c>
      <c r="X170" s="10" t="n">
        <f aca="false">U170/1000</f>
        <v>16317.5204004307</v>
      </c>
    </row>
    <row r="171" customFormat="false" ht="14.25" hidden="false" customHeight="false" outlineLevel="0" collapsed="false">
      <c r="A171" s="1" t="s">
        <v>29</v>
      </c>
      <c r="B171" s="2" t="n">
        <v>44963</v>
      </c>
      <c r="C171" s="26" t="s">
        <v>30</v>
      </c>
      <c r="D171" s="3" t="n">
        <v>44964</v>
      </c>
      <c r="E171" s="27" t="s">
        <v>31</v>
      </c>
      <c r="F171" s="27" t="s">
        <v>32</v>
      </c>
      <c r="G171" s="1" t="n">
        <v>531171700</v>
      </c>
      <c r="H171" s="4" t="n">
        <v>0.333333333333333</v>
      </c>
      <c r="I171" s="5" t="s">
        <v>70</v>
      </c>
      <c r="J171" s="6" t="n">
        <v>12</v>
      </c>
      <c r="K171" s="7" t="n">
        <v>13.6</v>
      </c>
      <c r="L171" s="7" t="n">
        <v>-3</v>
      </c>
      <c r="M171" s="7" t="n">
        <v>1297</v>
      </c>
      <c r="N171" s="7" t="n">
        <v>7.92</v>
      </c>
      <c r="O171" s="8" t="n">
        <v>18513</v>
      </c>
      <c r="P171" s="7" t="n">
        <f aca="false">(O171*1000)/24/60/60</f>
        <v>214.270833333333</v>
      </c>
      <c r="Q171" s="6" t="s">
        <v>63</v>
      </c>
      <c r="R171" s="6" t="n">
        <v>32.4</v>
      </c>
      <c r="S171" s="9" t="n">
        <v>30607.1653453069</v>
      </c>
      <c r="T171" s="9" t="n">
        <v>10085.1496652748</v>
      </c>
      <c r="U171" s="9" t="n">
        <v>23737088.1841361</v>
      </c>
      <c r="V171" s="10" t="n">
        <f aca="false">S171/1000</f>
        <v>30.6071653453069</v>
      </c>
      <c r="W171" s="10" t="n">
        <f aca="false">T171/1000</f>
        <v>10.0851496652748</v>
      </c>
      <c r="X171" s="10" t="n">
        <f aca="false">U171/1000</f>
        <v>23737.0881841361</v>
      </c>
    </row>
    <row r="172" customFormat="false" ht="14.25" hidden="false" customHeight="false" outlineLevel="0" collapsed="false">
      <c r="A172" s="1" t="s">
        <v>29</v>
      </c>
      <c r="B172" s="2" t="n">
        <v>44963</v>
      </c>
      <c r="C172" s="26" t="s">
        <v>30</v>
      </c>
      <c r="D172" s="3" t="n">
        <v>44964</v>
      </c>
      <c r="E172" s="27" t="s">
        <v>35</v>
      </c>
      <c r="F172" s="27" t="s">
        <v>36</v>
      </c>
      <c r="G172" s="1" t="n">
        <v>531172777</v>
      </c>
      <c r="H172" s="4" t="n">
        <v>0.333333333333333</v>
      </c>
      <c r="I172" s="5" t="s">
        <v>70</v>
      </c>
      <c r="J172" s="6" t="n">
        <v>12</v>
      </c>
      <c r="K172" s="7" t="n">
        <v>12.3</v>
      </c>
      <c r="L172" s="7" t="n">
        <v>-3</v>
      </c>
      <c r="M172" s="7" t="n">
        <v>637</v>
      </c>
      <c r="N172" s="62" t="n">
        <v>7.03</v>
      </c>
      <c r="O172" s="8" t="n">
        <v>20103</v>
      </c>
      <c r="P172" s="7" t="n">
        <f aca="false">(O172*1000)/24/60/60</f>
        <v>232.673611111111</v>
      </c>
      <c r="Q172" s="6" t="s">
        <v>63</v>
      </c>
      <c r="R172" s="6" t="n">
        <v>4.9</v>
      </c>
      <c r="S172" s="9" t="n">
        <v>19327.0369017964</v>
      </c>
      <c r="T172" s="9" t="n">
        <v>14838.969079564</v>
      </c>
      <c r="U172" s="9" t="n">
        <v>17498462.2216601</v>
      </c>
      <c r="V172" s="10" t="n">
        <f aca="false">S172/1000</f>
        <v>19.3270369017964</v>
      </c>
      <c r="W172" s="10" t="n">
        <f aca="false">T172/1000</f>
        <v>14.838969079564</v>
      </c>
      <c r="X172" s="10" t="n">
        <f aca="false">U172/1000</f>
        <v>17498.4622216601</v>
      </c>
    </row>
    <row r="173" customFormat="false" ht="14.25" hidden="false" customHeight="false" outlineLevel="0" collapsed="false">
      <c r="A173" s="1" t="s">
        <v>29</v>
      </c>
      <c r="B173" s="2" t="n">
        <v>44965</v>
      </c>
      <c r="C173" s="26" t="s">
        <v>30</v>
      </c>
      <c r="D173" s="3" t="n">
        <v>44966</v>
      </c>
      <c r="E173" s="27" t="s">
        <v>31</v>
      </c>
      <c r="F173" s="27" t="s">
        <v>32</v>
      </c>
      <c r="G173" s="1" t="n">
        <v>531171555</v>
      </c>
      <c r="H173" s="4" t="n">
        <v>0.333333333333333</v>
      </c>
      <c r="I173" s="5" t="s">
        <v>62</v>
      </c>
      <c r="J173" s="6" t="n">
        <v>12</v>
      </c>
      <c r="K173" s="7" t="n">
        <v>14.1</v>
      </c>
      <c r="L173" s="7" t="n">
        <v>-3</v>
      </c>
      <c r="M173" s="7" t="n">
        <v>1320</v>
      </c>
      <c r="N173" s="62" t="n">
        <v>7.95</v>
      </c>
      <c r="O173" s="8" t="n">
        <v>17939</v>
      </c>
      <c r="P173" s="7" t="n">
        <f aca="false">(O173*1000)/24/60/60</f>
        <v>207.627314814815</v>
      </c>
      <c r="Q173" s="6" t="s">
        <v>41</v>
      </c>
      <c r="R173" s="6" t="n">
        <v>13.6</v>
      </c>
      <c r="S173" s="9" t="n">
        <v>48126.6323612037</v>
      </c>
      <c r="T173" s="9" t="n">
        <v>32345.5853210276</v>
      </c>
      <c r="U173" s="9" t="n">
        <v>36490873.3116877</v>
      </c>
      <c r="V173" s="10" t="n">
        <f aca="false">S173/1000</f>
        <v>48.1266323612037</v>
      </c>
      <c r="W173" s="10" t="n">
        <f aca="false">T173/1000</f>
        <v>32.3455853210276</v>
      </c>
      <c r="X173" s="10" t="n">
        <f aca="false">U173/1000</f>
        <v>36490.8733116877</v>
      </c>
    </row>
    <row r="174" customFormat="false" ht="14.25" hidden="false" customHeight="false" outlineLevel="0" collapsed="false">
      <c r="A174" s="1" t="s">
        <v>29</v>
      </c>
      <c r="B174" s="2" t="n">
        <v>44965</v>
      </c>
      <c r="C174" s="26" t="s">
        <v>30</v>
      </c>
      <c r="D174" s="3" t="n">
        <v>44966</v>
      </c>
      <c r="E174" s="27" t="s">
        <v>35</v>
      </c>
      <c r="F174" s="27" t="s">
        <v>36</v>
      </c>
      <c r="G174" s="1" t="n">
        <v>531172199</v>
      </c>
      <c r="H174" s="4" t="n">
        <v>0.333333333333333</v>
      </c>
      <c r="I174" s="5" t="s">
        <v>62</v>
      </c>
      <c r="J174" s="6" t="n">
        <v>12</v>
      </c>
      <c r="K174" s="7" t="n">
        <v>13.94</v>
      </c>
      <c r="L174" s="7" t="n">
        <v>-3</v>
      </c>
      <c r="M174" s="7" t="n">
        <v>710</v>
      </c>
      <c r="N174" s="62" t="n">
        <v>7.26</v>
      </c>
      <c r="O174" s="8" t="n">
        <v>20214</v>
      </c>
      <c r="P174" s="7" t="n">
        <f aca="false">(O174*1000)/24/60/60</f>
        <v>233.958333333333</v>
      </c>
      <c r="Q174" s="6" t="s">
        <v>41</v>
      </c>
      <c r="R174" s="6" t="n">
        <v>6.3</v>
      </c>
      <c r="S174" s="9" t="n">
        <v>50950.5921214481</v>
      </c>
      <c r="T174" s="9" t="n">
        <v>39436.8388364541</v>
      </c>
      <c r="U174" s="9" t="n">
        <v>49694646.4716089</v>
      </c>
      <c r="V174" s="10" t="n">
        <f aca="false">S174/1000</f>
        <v>50.9505921214481</v>
      </c>
      <c r="W174" s="10" t="n">
        <f aca="false">T174/1000</f>
        <v>39.436838836454</v>
      </c>
      <c r="X174" s="10" t="n">
        <f aca="false">U174/1000</f>
        <v>49694.6464716089</v>
      </c>
    </row>
    <row r="175" customFormat="false" ht="14.25" hidden="false" customHeight="false" outlineLevel="0" collapsed="false">
      <c r="A175" s="1" t="s">
        <v>29</v>
      </c>
      <c r="B175" s="2" t="n">
        <v>44970</v>
      </c>
      <c r="C175" s="26" t="s">
        <v>30</v>
      </c>
      <c r="D175" s="63" t="n">
        <v>44971</v>
      </c>
      <c r="E175" s="27" t="s">
        <v>31</v>
      </c>
      <c r="F175" s="27" t="s">
        <v>32</v>
      </c>
      <c r="G175" s="1" t="n">
        <v>531171942</v>
      </c>
      <c r="H175" s="4" t="n">
        <v>0.333333333333333</v>
      </c>
      <c r="I175" s="5" t="s">
        <v>71</v>
      </c>
      <c r="J175" s="6" t="n">
        <v>12</v>
      </c>
      <c r="K175" s="7" t="n">
        <v>13.56</v>
      </c>
      <c r="L175" s="7" t="n">
        <v>2</v>
      </c>
      <c r="M175" s="7" t="n">
        <v>1190</v>
      </c>
      <c r="N175" s="62" t="n">
        <v>7.95</v>
      </c>
      <c r="O175" s="8" t="n">
        <v>17511</v>
      </c>
      <c r="P175" s="7" t="n">
        <f aca="false">(O175*1000)/24/60/60</f>
        <v>202.673611111111</v>
      </c>
      <c r="Q175" s="6" t="s">
        <v>41</v>
      </c>
      <c r="R175" s="6" t="n">
        <v>6</v>
      </c>
      <c r="S175" s="9" t="n">
        <v>26858.1821532109</v>
      </c>
      <c r="T175" s="9" t="n">
        <v>32084.6212974183</v>
      </c>
      <c r="U175" s="9" t="n">
        <v>12196170.7037047</v>
      </c>
      <c r="V175" s="10" t="n">
        <f aca="false">S175/1000</f>
        <v>26.8581821532109</v>
      </c>
      <c r="W175" s="10" t="n">
        <f aca="false">T175/1000</f>
        <v>32.0846212974183</v>
      </c>
      <c r="X175" s="10" t="n">
        <f aca="false">U175/1000</f>
        <v>12196.1707037047</v>
      </c>
    </row>
    <row r="176" customFormat="false" ht="14.25" hidden="false" customHeight="false" outlineLevel="0" collapsed="false">
      <c r="A176" s="1" t="s">
        <v>29</v>
      </c>
      <c r="B176" s="2" t="n">
        <v>44970</v>
      </c>
      <c r="C176" s="26" t="s">
        <v>30</v>
      </c>
      <c r="D176" s="63" t="n">
        <v>44971</v>
      </c>
      <c r="E176" s="27" t="s">
        <v>35</v>
      </c>
      <c r="F176" s="27" t="s">
        <v>36</v>
      </c>
      <c r="G176" s="1" t="n">
        <v>531172117</v>
      </c>
      <c r="H176" s="4" t="n">
        <v>0.333333333333333</v>
      </c>
      <c r="I176" s="5" t="s">
        <v>71</v>
      </c>
      <c r="J176" s="6" t="n">
        <v>12</v>
      </c>
      <c r="K176" s="7" t="n">
        <v>14.39</v>
      </c>
      <c r="L176" s="7" t="n">
        <v>2</v>
      </c>
      <c r="M176" s="7" t="n">
        <v>620</v>
      </c>
      <c r="N176" s="62" t="n">
        <v>6.9</v>
      </c>
      <c r="O176" s="8" t="n">
        <v>20200</v>
      </c>
      <c r="P176" s="7" t="n">
        <f aca="false">(O176*1000)/24/60/60</f>
        <v>233.796296296296</v>
      </c>
      <c r="Q176" s="6" t="s">
        <v>41</v>
      </c>
      <c r="R176" s="6" t="n">
        <v>1.5</v>
      </c>
      <c r="S176" s="9" t="n">
        <v>26858.1821532109</v>
      </c>
      <c r="T176" s="9" t="n">
        <v>32084.6212974183</v>
      </c>
      <c r="U176" s="9" t="n">
        <v>1152382.28857452</v>
      </c>
      <c r="V176" s="10" t="n">
        <f aca="false">S176/1000</f>
        <v>26.8581821532109</v>
      </c>
      <c r="W176" s="10" t="n">
        <f aca="false">T176/1000</f>
        <v>32.0846212974183</v>
      </c>
      <c r="X176" s="10" t="n">
        <f aca="false">U176/1000</f>
        <v>1152.38228857452</v>
      </c>
    </row>
    <row r="177" customFormat="false" ht="14.25" hidden="false" customHeight="false" outlineLevel="0" collapsed="false">
      <c r="A177" s="1" t="s">
        <v>29</v>
      </c>
      <c r="B177" s="2" t="n">
        <v>44972</v>
      </c>
      <c r="C177" s="26" t="s">
        <v>30</v>
      </c>
      <c r="D177" s="64" t="n">
        <v>44973</v>
      </c>
      <c r="E177" s="27" t="s">
        <v>31</v>
      </c>
      <c r="F177" s="27" t="s">
        <v>32</v>
      </c>
      <c r="G177" s="1" t="n">
        <v>531171298</v>
      </c>
      <c r="H177" s="4" t="n">
        <v>0.333333333333333</v>
      </c>
      <c r="I177" s="5" t="s">
        <v>72</v>
      </c>
      <c r="J177" s="6" t="n">
        <v>12</v>
      </c>
      <c r="K177" s="7" t="n">
        <v>14.1</v>
      </c>
      <c r="L177" s="7" t="n">
        <v>1</v>
      </c>
      <c r="M177" s="7" t="n">
        <v>1330</v>
      </c>
      <c r="N177" s="62" t="n">
        <v>8.04</v>
      </c>
      <c r="O177" s="8" t="n">
        <v>18098</v>
      </c>
      <c r="P177" s="7" t="n">
        <f aca="false">(O177*1000)/24/60/60</f>
        <v>209.467592592593</v>
      </c>
      <c r="Q177" s="6" t="s">
        <v>41</v>
      </c>
      <c r="R177" s="6" t="n">
        <v>11.8</v>
      </c>
      <c r="S177" s="9" t="n">
        <v>66853.1059083879</v>
      </c>
      <c r="T177" s="9" t="n">
        <v>48412.5208304847</v>
      </c>
      <c r="U177" s="9" t="n">
        <v>25213892.3912179</v>
      </c>
      <c r="V177" s="10" t="n">
        <f aca="false">S177/1000</f>
        <v>66.8531059083879</v>
      </c>
      <c r="W177" s="10" t="n">
        <f aca="false">T177/1000</f>
        <v>48.4125208304847</v>
      </c>
      <c r="X177" s="10" t="n">
        <f aca="false">U177/1000</f>
        <v>25213.8923912179</v>
      </c>
    </row>
    <row r="178" customFormat="false" ht="14.25" hidden="false" customHeight="false" outlineLevel="0" collapsed="false">
      <c r="A178" s="1" t="s">
        <v>29</v>
      </c>
      <c r="B178" s="2" t="n">
        <v>44972</v>
      </c>
      <c r="C178" s="26" t="s">
        <v>30</v>
      </c>
      <c r="D178" s="64" t="n">
        <v>44973</v>
      </c>
      <c r="E178" s="27" t="s">
        <v>35</v>
      </c>
      <c r="F178" s="27" t="s">
        <v>36</v>
      </c>
      <c r="G178" s="1" t="n">
        <v>531172842</v>
      </c>
      <c r="H178" s="4" t="n">
        <v>0.333333333333333</v>
      </c>
      <c r="I178" s="5" t="s">
        <v>72</v>
      </c>
      <c r="J178" s="6" t="n">
        <v>12</v>
      </c>
      <c r="K178" s="7" t="n">
        <v>14.6</v>
      </c>
      <c r="L178" s="7" t="n">
        <v>1</v>
      </c>
      <c r="M178" s="7" t="n">
        <v>700</v>
      </c>
      <c r="N178" s="62" t="n">
        <v>7.18</v>
      </c>
      <c r="O178" s="8" t="n">
        <v>20641</v>
      </c>
      <c r="P178" s="7" t="n">
        <f aca="false">(O178*1000)/24/60/60</f>
        <v>238.900462962963</v>
      </c>
      <c r="Q178" s="6" t="s">
        <v>41</v>
      </c>
      <c r="R178" s="6" t="n">
        <v>8.7</v>
      </c>
      <c r="S178" s="9" t="n">
        <v>48473.6492153358</v>
      </c>
      <c r="T178" s="9" t="n">
        <v>46626.2874359088</v>
      </c>
      <c r="U178" s="9" t="n">
        <v>20007198.2448201</v>
      </c>
      <c r="V178" s="10" t="n">
        <f aca="false">S178/1000</f>
        <v>48.4736492153358</v>
      </c>
      <c r="W178" s="10" t="n">
        <f aca="false">T178/1000</f>
        <v>46.6262874359088</v>
      </c>
      <c r="X178" s="10" t="n">
        <f aca="false">U178/1000</f>
        <v>20007.1982448201</v>
      </c>
    </row>
    <row r="179" customFormat="false" ht="14.25" hidden="false" customHeight="false" outlineLevel="0" collapsed="false">
      <c r="A179" s="1" t="s">
        <v>29</v>
      </c>
      <c r="B179" s="2" t="n">
        <v>44977</v>
      </c>
      <c r="C179" s="26" t="s">
        <v>30</v>
      </c>
      <c r="D179" s="3" t="n">
        <v>44978</v>
      </c>
      <c r="E179" s="27" t="s">
        <v>31</v>
      </c>
      <c r="F179" s="27" t="s">
        <v>32</v>
      </c>
      <c r="G179" s="1" t="n">
        <v>531171253</v>
      </c>
      <c r="H179" s="4" t="n">
        <v>0.333333333333333</v>
      </c>
      <c r="J179" s="6" t="n">
        <v>12</v>
      </c>
      <c r="K179" s="7" t="n">
        <v>14.5</v>
      </c>
      <c r="L179" s="7" t="n">
        <v>7</v>
      </c>
      <c r="M179" s="7" t="n">
        <v>1280</v>
      </c>
      <c r="N179" s="62" t="n">
        <v>7.99</v>
      </c>
      <c r="O179" s="8" t="n">
        <v>18099</v>
      </c>
      <c r="P179" s="7" t="n">
        <f aca="false">(O179*1000)/24/60/60</f>
        <v>209.479166666667</v>
      </c>
      <c r="Q179" s="6" t="s">
        <v>41</v>
      </c>
      <c r="R179" s="6" t="n">
        <v>13.7</v>
      </c>
      <c r="S179" s="9" t="n">
        <v>52800.4467131122</v>
      </c>
      <c r="T179" s="9" t="n">
        <v>48781.7182839241</v>
      </c>
      <c r="U179" s="9" t="n">
        <v>18668723.9311665</v>
      </c>
      <c r="V179" s="10" t="n">
        <f aca="false">S179/1000</f>
        <v>52.8004467131122</v>
      </c>
      <c r="W179" s="10" t="n">
        <f aca="false">T179/1000</f>
        <v>48.7817182839241</v>
      </c>
      <c r="X179" s="10" t="n">
        <f aca="false">U179/1000</f>
        <v>18668.7239311665</v>
      </c>
    </row>
    <row r="180" customFormat="false" ht="14.25" hidden="false" customHeight="false" outlineLevel="0" collapsed="false">
      <c r="A180" s="1" t="s">
        <v>29</v>
      </c>
      <c r="B180" s="2" t="n">
        <v>44977</v>
      </c>
      <c r="C180" s="26" t="s">
        <v>30</v>
      </c>
      <c r="D180" s="3" t="n">
        <v>44978</v>
      </c>
      <c r="E180" s="27" t="s">
        <v>35</v>
      </c>
      <c r="F180" s="27" t="s">
        <v>36</v>
      </c>
      <c r="G180" s="1" t="n">
        <v>531172803</v>
      </c>
      <c r="H180" s="4" t="n">
        <v>0.333333333333333</v>
      </c>
      <c r="J180" s="6" t="n">
        <v>12</v>
      </c>
      <c r="K180" s="7" t="n">
        <v>14.36</v>
      </c>
      <c r="L180" s="7" t="n">
        <v>7</v>
      </c>
      <c r="M180" s="7" t="n">
        <v>710</v>
      </c>
      <c r="N180" s="62" t="n">
        <v>7.41</v>
      </c>
      <c r="O180" s="8" t="n">
        <v>15945</v>
      </c>
      <c r="P180" s="7" t="n">
        <f aca="false">(O180*1000)/24/60/60</f>
        <v>184.548611111111</v>
      </c>
      <c r="Q180" s="6" t="s">
        <v>41</v>
      </c>
      <c r="R180" s="6" t="n">
        <v>48.8</v>
      </c>
      <c r="S180" s="9" t="n">
        <v>51728.0307433895</v>
      </c>
      <c r="T180" s="9" t="n">
        <v>16156.8696122179</v>
      </c>
      <c r="U180" s="9" t="n">
        <v>8410832.53745681</v>
      </c>
      <c r="V180" s="10" t="n">
        <f aca="false">S180/1000</f>
        <v>51.7280307433895</v>
      </c>
      <c r="W180" s="10" t="n">
        <f aca="false">T180/1000</f>
        <v>16.1568696122179</v>
      </c>
      <c r="X180" s="10" t="n">
        <f aca="false">U180/1000</f>
        <v>8410.83253745681</v>
      </c>
    </row>
    <row r="181" customFormat="false" ht="14.25" hidden="false" customHeight="false" outlineLevel="0" collapsed="false">
      <c r="A181" s="1" t="s">
        <v>29</v>
      </c>
      <c r="B181" s="2" t="n">
        <v>44979</v>
      </c>
      <c r="C181" s="26" t="s">
        <v>30</v>
      </c>
      <c r="D181" s="3" t="n">
        <v>44980</v>
      </c>
      <c r="E181" s="27" t="s">
        <v>31</v>
      </c>
      <c r="F181" s="27" t="s">
        <v>32</v>
      </c>
      <c r="G181" s="1" t="n">
        <v>531171901</v>
      </c>
      <c r="H181" s="4" t="n">
        <v>0.333333333333333</v>
      </c>
      <c r="I181" s="5" t="s">
        <v>62</v>
      </c>
      <c r="J181" s="6" t="n">
        <v>12</v>
      </c>
      <c r="K181" s="7" t="n">
        <v>12.8</v>
      </c>
      <c r="L181" s="7" t="n">
        <v>8</v>
      </c>
      <c r="M181" s="7" t="n">
        <v>570</v>
      </c>
      <c r="N181" s="7" t="n">
        <v>7.93</v>
      </c>
      <c r="O181" s="8" t="n">
        <v>23479</v>
      </c>
      <c r="P181" s="7" t="n">
        <f aca="false">(O181*1000)/24/60/60</f>
        <v>271.747685185185</v>
      </c>
      <c r="Q181" s="6" t="s">
        <v>41</v>
      </c>
      <c r="R181" s="6" t="n">
        <v>12.9</v>
      </c>
      <c r="S181" s="9" t="n">
        <v>86105.7109673113</v>
      </c>
      <c r="T181" s="9" t="n">
        <v>70910.0304949673</v>
      </c>
      <c r="U181" s="9" t="n">
        <v>16399232.3221604</v>
      </c>
      <c r="V181" s="10" t="n">
        <f aca="false">S181/1000</f>
        <v>86.1057109673112</v>
      </c>
      <c r="W181" s="10" t="n">
        <f aca="false">T181/1000</f>
        <v>70.9100304949673</v>
      </c>
      <c r="X181" s="10" t="n">
        <f aca="false">U181/1000</f>
        <v>16399.2323221604</v>
      </c>
    </row>
    <row r="182" customFormat="false" ht="14.25" hidden="false" customHeight="false" outlineLevel="0" collapsed="false">
      <c r="A182" s="1" t="s">
        <v>29</v>
      </c>
      <c r="B182" s="2" t="n">
        <v>44979</v>
      </c>
      <c r="C182" s="26" t="s">
        <v>30</v>
      </c>
      <c r="D182" s="3" t="n">
        <v>44980</v>
      </c>
      <c r="E182" s="27" t="s">
        <v>35</v>
      </c>
      <c r="F182" s="27" t="s">
        <v>36</v>
      </c>
      <c r="G182" s="1" t="n">
        <v>531172849</v>
      </c>
      <c r="H182" s="4" t="n">
        <v>0.333333333333333</v>
      </c>
      <c r="I182" s="5" t="s">
        <v>62</v>
      </c>
      <c r="J182" s="6" t="n">
        <v>12</v>
      </c>
      <c r="K182" s="7" t="n">
        <v>10.9</v>
      </c>
      <c r="L182" s="7" t="n">
        <v>8</v>
      </c>
      <c r="M182" s="7" t="n">
        <v>1099</v>
      </c>
      <c r="N182" s="7" t="n">
        <v>6.7</v>
      </c>
      <c r="O182" s="8" t="n">
        <v>23218</v>
      </c>
      <c r="P182" s="7" t="n">
        <f aca="false">(O182*1000)/24/60/60</f>
        <v>268.726851851852</v>
      </c>
      <c r="Q182" s="6" t="s">
        <v>41</v>
      </c>
      <c r="R182" s="6" t="n">
        <v>25</v>
      </c>
      <c r="S182" s="9" t="n">
        <v>76916.2095416038</v>
      </c>
      <c r="T182" s="9" t="n">
        <v>68989.7694965779</v>
      </c>
      <c r="U182" s="9" t="n">
        <v>16989306.0810004</v>
      </c>
      <c r="V182" s="10" t="n">
        <f aca="false">S182/1000</f>
        <v>76.9162095416038</v>
      </c>
      <c r="W182" s="10" t="n">
        <f aca="false">T182/1000</f>
        <v>68.9897694965779</v>
      </c>
      <c r="X182" s="10" t="n">
        <f aca="false">U182/1000</f>
        <v>16989.3060810004</v>
      </c>
    </row>
    <row r="183" customFormat="false" ht="14.25" hidden="false" customHeight="false" outlineLevel="0" collapsed="false">
      <c r="A183" s="1" t="s">
        <v>29</v>
      </c>
      <c r="B183" s="2" t="n">
        <v>44984</v>
      </c>
      <c r="C183" s="26" t="s">
        <v>30</v>
      </c>
      <c r="D183" s="3" t="n">
        <v>44985</v>
      </c>
      <c r="E183" s="27" t="s">
        <v>31</v>
      </c>
      <c r="F183" s="27" t="s">
        <v>32</v>
      </c>
      <c r="G183" s="1" t="n">
        <v>531171518</v>
      </c>
      <c r="H183" s="4" t="n">
        <v>0.333333333333333</v>
      </c>
      <c r="I183" s="5" t="s">
        <v>72</v>
      </c>
      <c r="J183" s="6" t="n">
        <v>12</v>
      </c>
      <c r="K183" s="7" t="n">
        <v>13.1</v>
      </c>
      <c r="L183" s="7" t="n">
        <v>-3</v>
      </c>
      <c r="M183" s="7" t="n">
        <v>1180</v>
      </c>
      <c r="N183" s="7" t="n">
        <v>8</v>
      </c>
      <c r="O183" s="8" t="n">
        <v>19161</v>
      </c>
      <c r="P183" s="7" t="n">
        <f aca="false">(O183*1000)/24/60/60</f>
        <v>221.770833333333</v>
      </c>
      <c r="Q183" s="6" t="s">
        <v>41</v>
      </c>
      <c r="R183" s="6" t="n">
        <v>25.3</v>
      </c>
      <c r="S183" s="9" t="n">
        <v>54748.4663924568</v>
      </c>
      <c r="T183" s="9" t="n">
        <v>53151.6071383372</v>
      </c>
      <c r="U183" s="9" t="n">
        <v>25089264.5117999</v>
      </c>
      <c r="V183" s="10" t="n">
        <f aca="false">S183/1000</f>
        <v>54.7484663924568</v>
      </c>
      <c r="W183" s="10" t="n">
        <f aca="false">T183/1000</f>
        <v>53.1516071383372</v>
      </c>
      <c r="X183" s="10" t="n">
        <f aca="false">U183/1000</f>
        <v>25089.2645117999</v>
      </c>
    </row>
    <row r="184" customFormat="false" ht="14.25" hidden="false" customHeight="false" outlineLevel="0" collapsed="false">
      <c r="A184" s="1" t="s">
        <v>29</v>
      </c>
      <c r="B184" s="2" t="n">
        <v>44984</v>
      </c>
      <c r="C184" s="26" t="s">
        <v>30</v>
      </c>
      <c r="D184" s="26" t="n">
        <v>44985</v>
      </c>
      <c r="E184" s="27" t="s">
        <v>35</v>
      </c>
      <c r="F184" s="27" t="s">
        <v>36</v>
      </c>
      <c r="G184" s="1" t="n">
        <v>531172985</v>
      </c>
      <c r="H184" s="4" t="n">
        <v>0.333333333333333</v>
      </c>
      <c r="I184" s="5" t="s">
        <v>72</v>
      </c>
      <c r="J184" s="6" t="n">
        <v>12</v>
      </c>
      <c r="K184" s="7" t="n">
        <v>14</v>
      </c>
      <c r="L184" s="7" t="n">
        <v>-3</v>
      </c>
      <c r="M184" s="7" t="n">
        <v>750</v>
      </c>
      <c r="N184" s="7" t="n">
        <v>7.07</v>
      </c>
      <c r="O184" s="8" t="n">
        <v>20848</v>
      </c>
      <c r="P184" s="7" t="n">
        <f aca="false">(O184*1000)/24/60/60</f>
        <v>241.296296296296</v>
      </c>
      <c r="Q184" s="6" t="s">
        <v>41</v>
      </c>
      <c r="R184" s="6" t="n">
        <v>54.3</v>
      </c>
      <c r="S184" s="9" t="n">
        <v>107441.349597117</v>
      </c>
      <c r="T184" s="9" t="n">
        <v>117837.296297405</v>
      </c>
      <c r="U184" s="9" t="n">
        <v>47605697.8059329</v>
      </c>
      <c r="V184" s="10" t="n">
        <f aca="false">S184/1000</f>
        <v>107.441349597117</v>
      </c>
      <c r="W184" s="10" t="n">
        <f aca="false">T184/1000</f>
        <v>117.837296297405</v>
      </c>
      <c r="X184" s="10" t="n">
        <f aca="false">U184/1000</f>
        <v>47605.6978059329</v>
      </c>
    </row>
    <row r="185" customFormat="false" ht="14.25" hidden="false" customHeight="false" outlineLevel="0" collapsed="false">
      <c r="A185" s="1" t="s">
        <v>29</v>
      </c>
      <c r="B185" s="2" t="n">
        <v>44986</v>
      </c>
      <c r="C185" s="26" t="s">
        <v>30</v>
      </c>
      <c r="D185" s="3" t="n">
        <v>44987</v>
      </c>
      <c r="E185" s="27" t="s">
        <v>31</v>
      </c>
      <c r="F185" s="27" t="s">
        <v>32</v>
      </c>
      <c r="G185" s="1" t="n">
        <v>531171178</v>
      </c>
      <c r="H185" s="4" t="n">
        <v>0.333333333333333</v>
      </c>
      <c r="I185" s="5" t="s">
        <v>72</v>
      </c>
      <c r="J185" s="6" t="n">
        <v>12</v>
      </c>
      <c r="K185" s="7" t="n">
        <v>13.6</v>
      </c>
      <c r="L185" s="7" t="n">
        <v>-3</v>
      </c>
      <c r="M185" s="7" t="n">
        <v>1230</v>
      </c>
      <c r="N185" s="7" t="n">
        <v>8.04</v>
      </c>
      <c r="O185" s="8" t="n">
        <v>18052</v>
      </c>
      <c r="P185" s="7" t="n">
        <f aca="false">(O185*1000)/24/60/60</f>
        <v>208.935185185185</v>
      </c>
      <c r="Q185" s="6" t="s">
        <v>41</v>
      </c>
      <c r="R185" s="6" t="n">
        <v>25.9</v>
      </c>
      <c r="S185" s="9" t="n">
        <v>61294.2294427104</v>
      </c>
      <c r="T185" s="9" t="n">
        <v>47136.0700983111</v>
      </c>
      <c r="U185" s="9" t="n">
        <v>34147406.6522667</v>
      </c>
      <c r="V185" s="10" t="n">
        <f aca="false">S185/1000</f>
        <v>61.2942294427104</v>
      </c>
      <c r="W185" s="10" t="n">
        <f aca="false">T185/1000</f>
        <v>47.1360700983111</v>
      </c>
      <c r="X185" s="10" t="n">
        <f aca="false">U185/1000</f>
        <v>34147.4066522667</v>
      </c>
    </row>
    <row r="186" customFormat="false" ht="14.25" hidden="false" customHeight="false" outlineLevel="0" collapsed="false">
      <c r="A186" s="1" t="s">
        <v>29</v>
      </c>
      <c r="B186" s="2" t="n">
        <v>44986</v>
      </c>
      <c r="C186" s="26" t="s">
        <v>30</v>
      </c>
      <c r="D186" s="3" t="n">
        <v>44987</v>
      </c>
      <c r="E186" s="27" t="s">
        <v>35</v>
      </c>
      <c r="F186" s="27" t="s">
        <v>36</v>
      </c>
      <c r="G186" s="1" t="n">
        <v>531172706</v>
      </c>
      <c r="H186" s="4" t="n">
        <v>0.333333333333333</v>
      </c>
      <c r="I186" s="5" t="s">
        <v>72</v>
      </c>
      <c r="J186" s="6" t="n">
        <v>12</v>
      </c>
      <c r="K186" s="7" t="n">
        <v>13.7</v>
      </c>
      <c r="L186" s="7" t="n">
        <v>-3</v>
      </c>
      <c r="M186" s="7" t="n">
        <v>670</v>
      </c>
      <c r="N186" s="7" t="n">
        <v>6.66</v>
      </c>
      <c r="O186" s="8" t="n">
        <v>19560</v>
      </c>
      <c r="P186" s="7" t="n">
        <f aca="false">(O186*1000)/24/60/60</f>
        <v>226.388888888889</v>
      </c>
      <c r="Q186" s="6" t="s">
        <v>41</v>
      </c>
      <c r="R186" s="6" t="n">
        <v>24.8</v>
      </c>
      <c r="S186" s="9" t="n">
        <v>58426.7196469928</v>
      </c>
      <c r="T186" s="9" t="n">
        <v>84472.7549641253</v>
      </c>
      <c r="U186" s="9" t="n">
        <v>26535537.7515499</v>
      </c>
      <c r="V186" s="10" t="n">
        <f aca="false">S186/1000</f>
        <v>58.4267196469928</v>
      </c>
      <c r="W186" s="10" t="n">
        <f aca="false">T186/1000</f>
        <v>84.4727549641253</v>
      </c>
      <c r="X186" s="10" t="n">
        <f aca="false">U186/1000</f>
        <v>26535.5377515499</v>
      </c>
    </row>
    <row r="187" s="68" customFormat="true" ht="14.25" hidden="false" customHeight="false" outlineLevel="0" collapsed="false">
      <c r="A187" s="37" t="s">
        <v>29</v>
      </c>
      <c r="B187" s="61" t="n">
        <v>44991</v>
      </c>
      <c r="C187" s="38" t="s">
        <v>30</v>
      </c>
      <c r="D187" s="61" t="n">
        <v>44992</v>
      </c>
      <c r="E187" s="39" t="s">
        <v>31</v>
      </c>
      <c r="F187" s="39" t="s">
        <v>32</v>
      </c>
      <c r="G187" s="37"/>
      <c r="H187" s="65" t="n">
        <v>0.333333333333333</v>
      </c>
      <c r="I187" s="41"/>
      <c r="J187" s="44" t="n">
        <v>12</v>
      </c>
      <c r="K187" s="43" t="n">
        <v>13.76</v>
      </c>
      <c r="L187" s="43" t="n">
        <v>5</v>
      </c>
      <c r="M187" s="43" t="n">
        <v>1220</v>
      </c>
      <c r="N187" s="43" t="n">
        <v>7.94</v>
      </c>
      <c r="O187" s="43" t="n">
        <v>17312</v>
      </c>
      <c r="P187" s="43" t="n">
        <f aca="false">(O187*1000)/24/60/60</f>
        <v>200.37037037037</v>
      </c>
      <c r="Q187" s="44" t="s">
        <v>63</v>
      </c>
      <c r="R187" s="44" t="n">
        <v>42.6</v>
      </c>
      <c r="S187" s="66" t="n">
        <v>49929.1146872181</v>
      </c>
      <c r="T187" s="66" t="n">
        <v>28835.994735645</v>
      </c>
      <c r="U187" s="66" t="n">
        <v>22020994.3893574</v>
      </c>
      <c r="V187" s="67" t="n">
        <f aca="false">S187/1000</f>
        <v>49.9291146872181</v>
      </c>
      <c r="W187" s="67" t="n">
        <f aca="false">T187/1000</f>
        <v>28.835994735645</v>
      </c>
      <c r="X187" s="67" t="n">
        <f aca="false">U187/1000</f>
        <v>22020.9943893574</v>
      </c>
      <c r="Y187" s="37"/>
    </row>
    <row r="188" s="68" customFormat="true" ht="14.25" hidden="false" customHeight="false" outlineLevel="0" collapsed="false">
      <c r="A188" s="37" t="s">
        <v>29</v>
      </c>
      <c r="B188" s="61" t="n">
        <v>44991</v>
      </c>
      <c r="C188" s="38" t="s">
        <v>30</v>
      </c>
      <c r="D188" s="61" t="n">
        <v>44992</v>
      </c>
      <c r="E188" s="39" t="s">
        <v>35</v>
      </c>
      <c r="F188" s="39" t="s">
        <v>36</v>
      </c>
      <c r="G188" s="37"/>
      <c r="H188" s="65" t="n">
        <v>0.333333333333333</v>
      </c>
      <c r="I188" s="41"/>
      <c r="J188" s="44" t="n">
        <v>12</v>
      </c>
      <c r="K188" s="43" t="n">
        <v>14.3</v>
      </c>
      <c r="L188" s="43" t="n">
        <v>5</v>
      </c>
      <c r="M188" s="43" t="n">
        <v>690</v>
      </c>
      <c r="N188" s="43" t="n">
        <v>7.39</v>
      </c>
      <c r="O188" s="43" t="n">
        <v>19317</v>
      </c>
      <c r="P188" s="43" t="n">
        <f aca="false">(O188*1000)/24/60/60</f>
        <v>223.576388888889</v>
      </c>
      <c r="Q188" s="44" t="s">
        <v>63</v>
      </c>
      <c r="R188" s="44" t="n">
        <v>40.6</v>
      </c>
      <c r="S188" s="66" t="n">
        <v>156594.082721956</v>
      </c>
      <c r="T188" s="66" t="n">
        <v>134195.226902168</v>
      </c>
      <c r="U188" s="66" t="n">
        <v>117195911.132048</v>
      </c>
      <c r="V188" s="67" t="n">
        <f aca="false">S188/1000</f>
        <v>156.594082721956</v>
      </c>
      <c r="W188" s="67" t="n">
        <f aca="false">T188/1000</f>
        <v>134.195226902168</v>
      </c>
      <c r="X188" s="67" t="n">
        <f aca="false">U188/1000</f>
        <v>117195.911132048</v>
      </c>
      <c r="Y188" s="37"/>
    </row>
    <row r="189" s="68" customFormat="true" ht="14.25" hidden="false" customHeight="false" outlineLevel="0" collapsed="false">
      <c r="A189" s="37" t="s">
        <v>29</v>
      </c>
      <c r="B189" s="61" t="n">
        <v>44993</v>
      </c>
      <c r="C189" s="38" t="s">
        <v>30</v>
      </c>
      <c r="D189" s="61" t="n">
        <v>44994</v>
      </c>
      <c r="E189" s="39" t="s">
        <v>31</v>
      </c>
      <c r="F189" s="39" t="s">
        <v>32</v>
      </c>
      <c r="H189" s="65" t="n">
        <v>0.333333333333333</v>
      </c>
      <c r="J189" s="44" t="n">
        <v>12</v>
      </c>
      <c r="K189" s="43" t="n">
        <v>7.8</v>
      </c>
      <c r="L189" s="68" t="n">
        <v>4</v>
      </c>
      <c r="M189" s="43" t="n">
        <v>260</v>
      </c>
      <c r="N189" s="43" t="n">
        <v>7.75</v>
      </c>
      <c r="O189" s="43" t="n">
        <v>75359</v>
      </c>
      <c r="P189" s="43" t="n">
        <f aca="false">(O189*1000)/24/60/60</f>
        <v>872.210648148148</v>
      </c>
      <c r="Q189" s="44" t="s">
        <v>73</v>
      </c>
      <c r="R189" s="68" t="n">
        <v>6.1</v>
      </c>
      <c r="S189" s="69" t="n">
        <v>27525.7449595129</v>
      </c>
      <c r="T189" s="69" t="n">
        <v>28835.994735645</v>
      </c>
      <c r="U189" s="69" t="n">
        <v>1431488.47672967</v>
      </c>
      <c r="V189" s="67" t="n">
        <f aca="false">S189/1000</f>
        <v>27.5257449595129</v>
      </c>
      <c r="W189" s="67" t="n">
        <f aca="false">T189/1000</f>
        <v>28.835994735645</v>
      </c>
      <c r="X189" s="67" t="n">
        <f aca="false">U189/1000</f>
        <v>1431.48847672967</v>
      </c>
      <c r="Y189" s="68" t="s">
        <v>74</v>
      </c>
    </row>
    <row r="190" s="68" customFormat="true" ht="14.25" hidden="false" customHeight="false" outlineLevel="0" collapsed="false">
      <c r="A190" s="37" t="s">
        <v>29</v>
      </c>
      <c r="B190" s="61" t="n">
        <v>44993</v>
      </c>
      <c r="C190" s="38" t="s">
        <v>30</v>
      </c>
      <c r="D190" s="61" t="n">
        <v>44994</v>
      </c>
      <c r="E190" s="39" t="s">
        <v>35</v>
      </c>
      <c r="F190" s="39" t="s">
        <v>36</v>
      </c>
      <c r="H190" s="65" t="n">
        <v>0.333333333333333</v>
      </c>
      <c r="J190" s="44" t="n">
        <v>12</v>
      </c>
      <c r="K190" s="43" t="n">
        <v>9.14</v>
      </c>
      <c r="L190" s="68" t="n">
        <v>4</v>
      </c>
      <c r="M190" s="43" t="n">
        <v>120</v>
      </c>
      <c r="N190" s="43" t="n">
        <v>7.24</v>
      </c>
      <c r="O190" s="43" t="n">
        <v>82021</v>
      </c>
      <c r="P190" s="43" t="n">
        <f aca="false">(O190*1000)/24/60/60</f>
        <v>949.31712962963</v>
      </c>
      <c r="Q190" s="44" t="s">
        <v>73</v>
      </c>
      <c r="R190" s="68" t="n">
        <v>6.7</v>
      </c>
      <c r="S190" s="66" t="n">
        <v>31131.9536935164</v>
      </c>
      <c r="T190" s="66" t="n">
        <v>30690.674071438</v>
      </c>
      <c r="U190" s="66" t="n">
        <v>12527955.8859262</v>
      </c>
      <c r="V190" s="67" t="n">
        <f aca="false">S190/1000</f>
        <v>31.1319536935164</v>
      </c>
      <c r="W190" s="67" t="n">
        <f aca="false">T190/1000</f>
        <v>30.690674071438</v>
      </c>
      <c r="X190" s="67" t="n">
        <f aca="false">U190/1000</f>
        <v>12527.9558859262</v>
      </c>
      <c r="Y190" s="37" t="s">
        <v>75</v>
      </c>
    </row>
    <row r="191" s="68" customFormat="true" ht="14.25" hidden="false" customHeight="false" outlineLevel="0" collapsed="false">
      <c r="A191" s="37" t="s">
        <v>29</v>
      </c>
      <c r="B191" s="61" t="n">
        <v>44998</v>
      </c>
      <c r="C191" s="38" t="s">
        <v>30</v>
      </c>
      <c r="D191" s="61" t="n">
        <v>44999</v>
      </c>
      <c r="E191" s="39" t="s">
        <v>31</v>
      </c>
      <c r="F191" s="39" t="s">
        <v>32</v>
      </c>
      <c r="G191" s="37"/>
      <c r="H191" s="65" t="n">
        <v>0.333333333333333</v>
      </c>
      <c r="I191" s="41" t="s">
        <v>62</v>
      </c>
      <c r="J191" s="44" t="n">
        <v>12</v>
      </c>
      <c r="K191" s="43" t="n">
        <v>12.43</v>
      </c>
      <c r="L191" s="43" t="n">
        <v>10</v>
      </c>
      <c r="M191" s="43" t="n">
        <v>920</v>
      </c>
      <c r="N191" s="43" t="n">
        <v>7.93</v>
      </c>
      <c r="O191" s="43" t="n">
        <v>18831</v>
      </c>
      <c r="P191" s="43" t="n">
        <f aca="false">(O191*1000)/24/60/60</f>
        <v>217.951388888889</v>
      </c>
      <c r="Q191" s="44" t="s">
        <v>60</v>
      </c>
      <c r="R191" s="44" t="n">
        <v>17.9</v>
      </c>
      <c r="S191" s="66" t="n">
        <v>31131.9536935164</v>
      </c>
      <c r="T191" s="66" t="n">
        <v>30690.674071438</v>
      </c>
      <c r="U191" s="66" t="n">
        <v>43332258.085164</v>
      </c>
      <c r="V191" s="67" t="n">
        <f aca="false">S191/1000</f>
        <v>31.1319536935164</v>
      </c>
      <c r="W191" s="67" t="n">
        <f aca="false">T191/1000</f>
        <v>30.690674071438</v>
      </c>
      <c r="X191" s="67" t="n">
        <f aca="false">U191/1000</f>
        <v>43332.258085164</v>
      </c>
      <c r="Y191" s="37"/>
    </row>
    <row r="192" s="68" customFormat="true" ht="14.25" hidden="false" customHeight="false" outlineLevel="0" collapsed="false">
      <c r="A192" s="37" t="s">
        <v>29</v>
      </c>
      <c r="B192" s="61" t="n">
        <v>44998</v>
      </c>
      <c r="C192" s="38" t="s">
        <v>30</v>
      </c>
      <c r="D192" s="61" t="n">
        <v>44999</v>
      </c>
      <c r="E192" s="39" t="s">
        <v>35</v>
      </c>
      <c r="F192" s="39" t="s">
        <v>36</v>
      </c>
      <c r="G192" s="37"/>
      <c r="H192" s="65" t="n">
        <v>0.333333333333333</v>
      </c>
      <c r="I192" s="41" t="s">
        <v>62</v>
      </c>
      <c r="J192" s="44" t="n">
        <v>12</v>
      </c>
      <c r="K192" s="43" t="n">
        <v>13.8</v>
      </c>
      <c r="L192" s="43" t="n">
        <v>10</v>
      </c>
      <c r="M192" s="43" t="n">
        <v>570</v>
      </c>
      <c r="N192" s="43" t="n">
        <v>7.56</v>
      </c>
      <c r="O192" s="43" t="n">
        <v>19897</v>
      </c>
      <c r="P192" s="43" t="n">
        <f aca="false">(O192*1000)/24/60/60</f>
        <v>230.289351851852</v>
      </c>
      <c r="Q192" s="44" t="s">
        <v>60</v>
      </c>
      <c r="R192" s="44" t="n">
        <v>4.1</v>
      </c>
      <c r="S192" s="66" t="n">
        <v>33785.2895363594</v>
      </c>
      <c r="T192" s="66" t="n">
        <v>26665.6130582722</v>
      </c>
      <c r="U192" s="66" t="n">
        <v>14654957.1717636</v>
      </c>
      <c r="V192" s="67" t="n">
        <f aca="false">S192/1000</f>
        <v>33.7852895363594</v>
      </c>
      <c r="W192" s="67" t="n">
        <f aca="false">T192/1000</f>
        <v>26.6656130582722</v>
      </c>
      <c r="X192" s="67" t="n">
        <f aca="false">U192/1000</f>
        <v>14654.9571717636</v>
      </c>
      <c r="Y192" s="37"/>
    </row>
    <row r="193" s="68" customFormat="true" ht="14.25" hidden="false" customHeight="false" outlineLevel="0" collapsed="false">
      <c r="A193" s="37" t="s">
        <v>29</v>
      </c>
      <c r="B193" s="61" t="n">
        <v>45000</v>
      </c>
      <c r="C193" s="38" t="s">
        <v>30</v>
      </c>
      <c r="D193" s="61" t="n">
        <v>45001</v>
      </c>
      <c r="E193" s="39" t="s">
        <v>31</v>
      </c>
      <c r="F193" s="39" t="s">
        <v>32</v>
      </c>
      <c r="G193" s="37"/>
      <c r="H193" s="65" t="n">
        <v>0.333333333333333</v>
      </c>
      <c r="I193" s="41" t="s">
        <v>62</v>
      </c>
      <c r="J193" s="44" t="n">
        <v>12</v>
      </c>
      <c r="K193" s="43" t="n">
        <v>10.88</v>
      </c>
      <c r="L193" s="43" t="n">
        <v>4</v>
      </c>
      <c r="M193" s="43" t="n">
        <v>730</v>
      </c>
      <c r="N193" s="43" t="n">
        <v>7.59</v>
      </c>
      <c r="O193" s="43" t="n">
        <v>32245</v>
      </c>
      <c r="P193" s="43" t="n">
        <f aca="false">(O193*1000)/24/60/60</f>
        <v>373.206018518519</v>
      </c>
      <c r="Q193" s="44" t="s">
        <v>60</v>
      </c>
      <c r="R193" s="44" t="n">
        <v>6.3</v>
      </c>
      <c r="S193" s="66" t="n">
        <v>21997.9105258647</v>
      </c>
      <c r="T193" s="66" t="n">
        <v>10377.6542255221</v>
      </c>
      <c r="U193" s="66" t="n">
        <v>23292109.8707488</v>
      </c>
      <c r="V193" s="67" t="n">
        <f aca="false">S193/1000</f>
        <v>21.9979105258647</v>
      </c>
      <c r="W193" s="67" t="n">
        <f aca="false">T193/1000</f>
        <v>10.3776542255221</v>
      </c>
      <c r="X193" s="67" t="n">
        <f aca="false">U193/1000</f>
        <v>23292.1098707488</v>
      </c>
      <c r="Y193" s="37"/>
    </row>
    <row r="194" s="68" customFormat="true" ht="14.25" hidden="false" customHeight="false" outlineLevel="0" collapsed="false">
      <c r="A194" s="37" t="s">
        <v>29</v>
      </c>
      <c r="B194" s="61" t="n">
        <v>45000</v>
      </c>
      <c r="C194" s="38" t="s">
        <v>30</v>
      </c>
      <c r="D194" s="61" t="n">
        <v>45001</v>
      </c>
      <c r="E194" s="39" t="s">
        <v>35</v>
      </c>
      <c r="F194" s="39" t="s">
        <v>36</v>
      </c>
      <c r="G194" s="37"/>
      <c r="H194" s="65" t="n">
        <v>0.333333333333333</v>
      </c>
      <c r="I194" s="41" t="s">
        <v>62</v>
      </c>
      <c r="J194" s="44" t="n">
        <v>12</v>
      </c>
      <c r="K194" s="43" t="n">
        <v>11.48</v>
      </c>
      <c r="L194" s="43" t="n">
        <v>4</v>
      </c>
      <c r="M194" s="43" t="n">
        <v>560</v>
      </c>
      <c r="N194" s="43" t="n">
        <v>8.04</v>
      </c>
      <c r="O194" s="43" t="n">
        <v>32604</v>
      </c>
      <c r="P194" s="43" t="n">
        <f aca="false">(O194*1000)/24/60/60</f>
        <v>377.361111111111</v>
      </c>
      <c r="Q194" s="44" t="s">
        <v>60</v>
      </c>
      <c r="R194" s="44" t="n">
        <v>1.5</v>
      </c>
      <c r="S194" s="66" t="n">
        <v>9662.50022587258</v>
      </c>
      <c r="T194" s="66" t="n">
        <v>7672.6685178595</v>
      </c>
      <c r="U194" s="66" t="n">
        <v>36722611.1391365</v>
      </c>
      <c r="V194" s="67" t="n">
        <f aca="false">S194/1000</f>
        <v>9.66250022587258</v>
      </c>
      <c r="W194" s="67" t="n">
        <f aca="false">T194/1000</f>
        <v>7.6726685178595</v>
      </c>
      <c r="X194" s="67" t="n">
        <f aca="false">U194/1000</f>
        <v>36722.6111391365</v>
      </c>
      <c r="Y194" s="37"/>
    </row>
    <row r="195" s="74" customFormat="true" ht="14.25" hidden="false" customHeight="false" outlineLevel="0" collapsed="false">
      <c r="A195" s="70" t="s">
        <v>29</v>
      </c>
      <c r="B195" s="71" t="n">
        <v>45005</v>
      </c>
      <c r="C195" s="72" t="s">
        <v>30</v>
      </c>
      <c r="D195" s="71" t="n">
        <v>45006</v>
      </c>
      <c r="E195" s="73" t="s">
        <v>31</v>
      </c>
      <c r="F195" s="73" t="s">
        <v>32</v>
      </c>
      <c r="H195" s="75" t="n">
        <v>0.333333333333333</v>
      </c>
      <c r="I195" s="74" t="s">
        <v>62</v>
      </c>
      <c r="J195" s="76" t="n">
        <v>12</v>
      </c>
      <c r="K195" s="77" t="n">
        <v>12.76</v>
      </c>
      <c r="L195" s="74" t="n">
        <v>10</v>
      </c>
      <c r="M195" s="77" t="n">
        <v>990</v>
      </c>
      <c r="N195" s="77" t="n">
        <v>8.17</v>
      </c>
      <c r="O195" s="77" t="n">
        <v>19490</v>
      </c>
      <c r="P195" s="77" t="n">
        <f aca="false">(O195*1000)/24/60/60</f>
        <v>225.578703703704</v>
      </c>
      <c r="Q195" s="76" t="s">
        <v>63</v>
      </c>
      <c r="S195" s="78" t="n">
        <v>7782.9884233791</v>
      </c>
      <c r="T195" s="78" t="n">
        <v>7720.35198397311</v>
      </c>
      <c r="U195" s="78" t="n">
        <v>18364200.5674477</v>
      </c>
      <c r="V195" s="79" t="n">
        <f aca="false">S195/1000</f>
        <v>7.7829884233791</v>
      </c>
      <c r="W195" s="79" t="n">
        <f aca="false">T195/1000</f>
        <v>7.72035198397311</v>
      </c>
      <c r="X195" s="79" t="n">
        <f aca="false">U195/1000</f>
        <v>18364.2005674477</v>
      </c>
      <c r="Y195" s="70"/>
    </row>
    <row r="196" s="74" customFormat="true" ht="14.25" hidden="false" customHeight="false" outlineLevel="0" collapsed="false">
      <c r="A196" s="70" t="s">
        <v>29</v>
      </c>
      <c r="B196" s="71" t="n">
        <v>45005</v>
      </c>
      <c r="C196" s="72" t="s">
        <v>30</v>
      </c>
      <c r="D196" s="71" t="n">
        <v>45006</v>
      </c>
      <c r="E196" s="73" t="s">
        <v>35</v>
      </c>
      <c r="F196" s="73" t="s">
        <v>36</v>
      </c>
      <c r="G196" s="70"/>
      <c r="H196" s="75" t="n">
        <v>0.333333333333333</v>
      </c>
      <c r="I196" s="80" t="s">
        <v>62</v>
      </c>
      <c r="J196" s="76" t="n">
        <v>12</v>
      </c>
      <c r="K196" s="77" t="n">
        <v>14.37</v>
      </c>
      <c r="L196" s="77" t="n">
        <v>10</v>
      </c>
      <c r="M196" s="77" t="n">
        <v>620</v>
      </c>
      <c r="N196" s="77" t="n">
        <v>7.57</v>
      </c>
      <c r="O196" s="77" t="n">
        <v>20681</v>
      </c>
      <c r="P196" s="77" t="n">
        <f aca="false">(O196*1000)/24/60/60</f>
        <v>239.363425925926</v>
      </c>
      <c r="Q196" s="76" t="s">
        <v>63</v>
      </c>
      <c r="R196" s="76"/>
      <c r="S196" s="78" t="n">
        <v>11701.7897359745</v>
      </c>
      <c r="T196" s="78" t="n">
        <v>7720.35198397311</v>
      </c>
      <c r="U196" s="78" t="n">
        <v>30265251.7414054</v>
      </c>
      <c r="V196" s="79" t="n">
        <f aca="false">S196/1000</f>
        <v>11.7017897359745</v>
      </c>
      <c r="W196" s="79" t="n">
        <f aca="false">T196/1000</f>
        <v>7.72035198397311</v>
      </c>
      <c r="X196" s="79" t="n">
        <f aca="false">U196/1000</f>
        <v>30265.2517414054</v>
      </c>
      <c r="Y196" s="70"/>
    </row>
    <row r="197" s="74" customFormat="true" ht="14.25" hidden="false" customHeight="false" outlineLevel="0" collapsed="false">
      <c r="A197" s="70" t="s">
        <v>29</v>
      </c>
      <c r="B197" s="71" t="n">
        <v>45007</v>
      </c>
      <c r="C197" s="72" t="s">
        <v>30</v>
      </c>
      <c r="D197" s="71" t="n">
        <v>45008</v>
      </c>
      <c r="E197" s="73" t="s">
        <v>31</v>
      </c>
      <c r="F197" s="73" t="s">
        <v>32</v>
      </c>
      <c r="G197" s="70"/>
      <c r="H197" s="75" t="n">
        <v>0.333333333333333</v>
      </c>
      <c r="I197" s="80" t="s">
        <v>62</v>
      </c>
      <c r="J197" s="76" t="n">
        <v>12</v>
      </c>
      <c r="K197" s="77" t="n">
        <v>14.2</v>
      </c>
      <c r="L197" s="77" t="n">
        <v>13</v>
      </c>
      <c r="M197" s="77" t="n">
        <v>1280</v>
      </c>
      <c r="N197" s="77" t="n">
        <v>8.01</v>
      </c>
      <c r="O197" s="77" t="n">
        <v>22500</v>
      </c>
      <c r="P197" s="77" t="n">
        <f aca="false">(O197*1000)/24/60/60</f>
        <v>260.416666666667</v>
      </c>
      <c r="Q197" s="76" t="s">
        <v>63</v>
      </c>
      <c r="R197" s="76"/>
      <c r="S197" s="78" t="n">
        <v>30268.1622395988</v>
      </c>
      <c r="T197" s="78" t="n">
        <v>7720.35198397311</v>
      </c>
      <c r="U197" s="78" t="n">
        <v>36427888.7215376</v>
      </c>
      <c r="V197" s="79" t="n">
        <f aca="false">S197/1000</f>
        <v>30.2681622395988</v>
      </c>
      <c r="W197" s="79" t="n">
        <f aca="false">T197/1000</f>
        <v>7.72035198397311</v>
      </c>
      <c r="X197" s="79" t="n">
        <f aca="false">U197/1000</f>
        <v>36427.8887215376</v>
      </c>
      <c r="Y197" s="70"/>
    </row>
    <row r="198" s="74" customFormat="true" ht="14.25" hidden="false" customHeight="false" outlineLevel="0" collapsed="false">
      <c r="A198" s="70" t="s">
        <v>29</v>
      </c>
      <c r="B198" s="71" t="n">
        <v>45007</v>
      </c>
      <c r="C198" s="72" t="s">
        <v>30</v>
      </c>
      <c r="D198" s="71" t="n">
        <v>45008</v>
      </c>
      <c r="E198" s="73" t="s">
        <v>35</v>
      </c>
      <c r="F198" s="73" t="s">
        <v>36</v>
      </c>
      <c r="G198" s="70"/>
      <c r="H198" s="75" t="n">
        <v>0.333333333333333</v>
      </c>
      <c r="I198" s="80" t="s">
        <v>62</v>
      </c>
      <c r="J198" s="76" t="n">
        <v>12</v>
      </c>
      <c r="K198" s="77" t="n">
        <v>14.52</v>
      </c>
      <c r="L198" s="77" t="n">
        <v>13</v>
      </c>
      <c r="M198" s="77" t="n">
        <v>690</v>
      </c>
      <c r="N198" s="77" t="n">
        <v>7.46</v>
      </c>
      <c r="O198" s="77" t="n">
        <v>22043</v>
      </c>
      <c r="P198" s="77" t="n">
        <f aca="false">(O198*1000)/24/60/60</f>
        <v>255.127314814815</v>
      </c>
      <c r="Q198" s="76" t="s">
        <v>63</v>
      </c>
      <c r="R198" s="76"/>
      <c r="S198" s="78" t="n">
        <v>7782.9884233791</v>
      </c>
      <c r="T198" s="78" t="n">
        <v>7720.35198397311</v>
      </c>
      <c r="U198" s="78" t="n">
        <v>4888442.45473762</v>
      </c>
      <c r="V198" s="79" t="n">
        <f aca="false">S198/1000</f>
        <v>7.7829884233791</v>
      </c>
      <c r="W198" s="79" t="n">
        <f aca="false">T198/1000</f>
        <v>7.72035198397311</v>
      </c>
      <c r="X198" s="79" t="n">
        <f aca="false">U198/1000</f>
        <v>4888.44245473762</v>
      </c>
      <c r="Y198" s="70"/>
    </row>
    <row r="199" customFormat="false" ht="14.25" hidden="false" customHeight="false" outlineLevel="0" collapsed="false">
      <c r="A199" s="70" t="s">
        <v>29</v>
      </c>
      <c r="B199" s="2" t="n">
        <v>45012</v>
      </c>
      <c r="C199" s="72" t="s">
        <v>30</v>
      </c>
      <c r="D199" s="71" t="n">
        <v>45013</v>
      </c>
      <c r="E199" s="73" t="s">
        <v>31</v>
      </c>
      <c r="F199" s="73" t="s">
        <v>32</v>
      </c>
      <c r="G199" s="70"/>
      <c r="H199" s="75" t="n">
        <v>0.333333333333333</v>
      </c>
      <c r="I199" s="80" t="s">
        <v>62</v>
      </c>
      <c r="J199" s="76" t="n">
        <v>12</v>
      </c>
      <c r="K199" s="7" t="n">
        <v>12.75</v>
      </c>
      <c r="L199" s="7" t="n">
        <v>-1</v>
      </c>
      <c r="M199" s="7" t="n">
        <v>1650</v>
      </c>
      <c r="N199" s="7" t="n">
        <v>8.05</v>
      </c>
      <c r="O199" s="8" t="n">
        <v>21863</v>
      </c>
      <c r="P199" s="77" t="n">
        <f aca="false">(O199*1000)/24/60/60</f>
        <v>253.043981481481</v>
      </c>
      <c r="Q199" s="76" t="s">
        <v>63</v>
      </c>
      <c r="R199" s="6" t="n">
        <v>6.7</v>
      </c>
      <c r="S199" s="9" t="n">
        <v>9054.58903707778</v>
      </c>
      <c r="T199" s="9" t="n">
        <v>7720.35198397311</v>
      </c>
      <c r="U199" s="9" t="n">
        <v>13475725.2821376</v>
      </c>
      <c r="V199" s="79" t="n">
        <f aca="false">S199/1000</f>
        <v>9.05458903707778</v>
      </c>
      <c r="W199" s="79" t="n">
        <f aca="false">T199/1000</f>
        <v>7.72035198397311</v>
      </c>
      <c r="X199" s="79" t="n">
        <f aca="false">U199/1000</f>
        <v>13475.7252821376</v>
      </c>
    </row>
    <row r="200" customFormat="false" ht="14.25" hidden="false" customHeight="false" outlineLevel="0" collapsed="false">
      <c r="A200" s="70" t="s">
        <v>29</v>
      </c>
      <c r="B200" s="2" t="n">
        <v>45012</v>
      </c>
      <c r="C200" s="72" t="s">
        <v>30</v>
      </c>
      <c r="D200" s="71" t="n">
        <v>45013</v>
      </c>
      <c r="E200" s="73" t="s">
        <v>35</v>
      </c>
      <c r="F200" s="73" t="s">
        <v>36</v>
      </c>
      <c r="G200" s="70"/>
      <c r="H200" s="75" t="n">
        <v>0.333333333333333</v>
      </c>
      <c r="I200" s="80" t="s">
        <v>76</v>
      </c>
      <c r="J200" s="76" t="n">
        <v>12</v>
      </c>
      <c r="K200" s="7" t="n">
        <v>14</v>
      </c>
      <c r="L200" s="7" t="n">
        <v>-1</v>
      </c>
      <c r="M200" s="7" t="n">
        <v>640</v>
      </c>
      <c r="N200" s="7" t="n">
        <v>7.45</v>
      </c>
      <c r="O200" s="8" t="n">
        <v>22169</v>
      </c>
      <c r="P200" s="77" t="n">
        <f aca="false">(O200*1000)/24/60/60</f>
        <v>256.585648148148</v>
      </c>
      <c r="Q200" s="76" t="s">
        <v>63</v>
      </c>
      <c r="R200" s="6" t="n">
        <v>5.8</v>
      </c>
      <c r="S200" s="9" t="n">
        <v>10614.6088182339</v>
      </c>
      <c r="T200" s="9" t="n">
        <v>7720.35198397311</v>
      </c>
      <c r="U200" s="9" t="n">
        <v>9839446.83731609</v>
      </c>
      <c r="V200" s="79" t="n">
        <f aca="false">S200/1000</f>
        <v>10.6146088182339</v>
      </c>
      <c r="W200" s="79" t="n">
        <f aca="false">T200/1000</f>
        <v>7.72035198397311</v>
      </c>
      <c r="X200" s="79" t="n">
        <f aca="false">U200/1000</f>
        <v>9839.44683731609</v>
      </c>
    </row>
    <row r="201" customFormat="false" ht="14.25" hidden="false" customHeight="false" outlineLevel="0" collapsed="false">
      <c r="A201" s="70" t="s">
        <v>29</v>
      </c>
      <c r="B201" s="2" t="n">
        <v>45014</v>
      </c>
      <c r="C201" s="72" t="s">
        <v>30</v>
      </c>
      <c r="D201" s="3" t="n">
        <v>45015</v>
      </c>
      <c r="E201" s="73" t="s">
        <v>31</v>
      </c>
      <c r="F201" s="73" t="s">
        <v>32</v>
      </c>
      <c r="H201" s="75" t="n">
        <v>0.333333333333333</v>
      </c>
      <c r="J201" s="76" t="n">
        <v>12</v>
      </c>
      <c r="K201" s="7" t="n">
        <v>13.97</v>
      </c>
      <c r="L201" s="7" t="n">
        <v>15</v>
      </c>
      <c r="M201" s="7" t="n">
        <v>1240</v>
      </c>
      <c r="N201" s="7" t="n">
        <v>8.07</v>
      </c>
      <c r="O201" s="8" t="n">
        <v>20429</v>
      </c>
      <c r="P201" s="77" t="n">
        <f aca="false">(O201*1000)/24/60/60</f>
        <v>236.446759259259</v>
      </c>
      <c r="Q201" s="76" t="s">
        <v>63</v>
      </c>
      <c r="S201" s="9" t="n">
        <v>22996.7437534177</v>
      </c>
      <c r="T201" s="9" t="n">
        <v>8919.9390865953</v>
      </c>
      <c r="U201" s="9" t="n">
        <v>72012906.0492571</v>
      </c>
      <c r="V201" s="79" t="n">
        <f aca="false">S201/1000</f>
        <v>22.9967437534177</v>
      </c>
      <c r="W201" s="79" t="n">
        <f aca="false">T201/1000</f>
        <v>8.9199390865953</v>
      </c>
      <c r="X201" s="79" t="n">
        <f aca="false">U201/1000</f>
        <v>72012.9060492571</v>
      </c>
    </row>
    <row r="202" customFormat="false" ht="14.25" hidden="false" customHeight="false" outlineLevel="0" collapsed="false">
      <c r="A202" s="70" t="s">
        <v>29</v>
      </c>
      <c r="B202" s="2" t="n">
        <v>45014</v>
      </c>
      <c r="C202" s="72" t="s">
        <v>30</v>
      </c>
      <c r="D202" s="3" t="n">
        <v>45015</v>
      </c>
      <c r="E202" s="73" t="s">
        <v>35</v>
      </c>
      <c r="F202" s="73" t="s">
        <v>36</v>
      </c>
      <c r="H202" s="75" t="n">
        <v>0.333333333333333</v>
      </c>
      <c r="J202" s="76" t="n">
        <v>12</v>
      </c>
      <c r="K202" s="7" t="n">
        <v>14.55</v>
      </c>
      <c r="L202" s="7" t="n">
        <v>15</v>
      </c>
      <c r="M202" s="7" t="n">
        <v>650</v>
      </c>
      <c r="N202" s="7" t="n">
        <v>7.1</v>
      </c>
      <c r="O202" s="8" t="n">
        <v>21815</v>
      </c>
      <c r="P202" s="77" t="n">
        <f aca="false">(O202*1000)/24/60/60</f>
        <v>252.488425925926</v>
      </c>
      <c r="Q202" s="76" t="s">
        <v>63</v>
      </c>
      <c r="S202" s="9" t="n">
        <v>10614.6088182339</v>
      </c>
      <c r="T202" s="9" t="n">
        <v>9043.48198790228</v>
      </c>
      <c r="U202" s="9" t="n">
        <v>23528554.7764664</v>
      </c>
      <c r="V202" s="79" t="n">
        <f aca="false">S202/1000</f>
        <v>10.6146088182339</v>
      </c>
      <c r="W202" s="79" t="n">
        <f aca="false">T202/1000</f>
        <v>9.04348198790228</v>
      </c>
      <c r="X202" s="79" t="n">
        <f aca="false">U202/1000</f>
        <v>23528.5547764664</v>
      </c>
    </row>
  </sheetData>
  <printOptions headings="false" gridLines="false" gridLinesSet="true" horizontalCentered="false" verticalCentered="false"/>
  <pageMargins left="0.700694444444444" right="0.700694444444444" top="0.7875" bottom="0.78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1"/>
  <sheetViews>
    <sheetView showFormulas="false" showGridLines="true" showRowColHeaders="true" showZeros="true" rightToLeft="false" tabSelected="false" showOutlineSymbols="true" defaultGridColor="true" view="normal" topLeftCell="N1" colorId="64" zoomScale="85" zoomScaleNormal="85" zoomScalePageLayoutView="100" workbookViewId="0">
      <selection pane="topLeft" activeCell="AE3" activeCellId="0" sqref="AE3"/>
    </sheetView>
  </sheetViews>
  <sheetFormatPr defaultColWidth="11.4296875" defaultRowHeight="14.25" zeroHeight="false" outlineLevelRow="0" outlineLevelCol="0"/>
  <cols>
    <col collapsed="false" customWidth="true" hidden="false" outlineLevel="0" max="1" min="1" style="0" width="18.71"/>
    <col collapsed="false" customWidth="true" hidden="false" outlineLevel="0" max="2" min="2" style="81" width="15.57"/>
    <col collapsed="false" customWidth="true" hidden="false" outlineLevel="0" max="3" min="3" style="82" width="15.57"/>
    <col collapsed="false" customWidth="true" hidden="false" outlineLevel="0" max="4" min="4" style="82" width="15.43"/>
    <col collapsed="false" customWidth="true" hidden="false" outlineLevel="0" max="5" min="5" style="0" width="13"/>
    <col collapsed="false" customWidth="true" hidden="true" outlineLevel="0" max="7" min="7" style="83" width="9.14"/>
    <col collapsed="false" customWidth="true" hidden="true" outlineLevel="0" max="8" min="8" style="84" width="16.14"/>
    <col collapsed="false" customWidth="true" hidden="true" outlineLevel="0" max="9" min="9" style="84" width="9.14"/>
    <col collapsed="false" customWidth="true" hidden="true" outlineLevel="0" max="10" min="10" style="84" width="13.28"/>
    <col collapsed="false" customWidth="true" hidden="true" outlineLevel="0" max="11" min="11" style="84" width="9.14"/>
    <col collapsed="false" customWidth="true" hidden="true" outlineLevel="0" max="12" min="12" style="84" width="14.43"/>
    <col collapsed="false" customWidth="true" hidden="true" outlineLevel="0" max="13" min="13" style="84" width="18.71"/>
    <col collapsed="false" customWidth="true" hidden="false" outlineLevel="0" max="14" min="14" style="84" width="16.43"/>
    <col collapsed="false" customWidth="true" hidden="false" outlineLevel="0" max="17" min="15" style="0" width="22.43"/>
    <col collapsed="false" customWidth="true" hidden="false" outlineLevel="0" max="18" min="18" style="0" width="32.86"/>
    <col collapsed="false" customWidth="true" hidden="false" outlineLevel="0" max="19" min="19" style="0" width="14.57"/>
    <col collapsed="false" customWidth="true" hidden="false" outlineLevel="0" max="20" min="20" style="0" width="14.43"/>
    <col collapsed="false" customWidth="true" hidden="false" outlineLevel="0" max="47" min="47" style="0" width="27.29"/>
  </cols>
  <sheetData>
    <row r="1" s="22" customFormat="true" ht="99.75" hidden="false" customHeight="true" outlineLevel="0" collapsed="false">
      <c r="A1" s="22" t="s">
        <v>0</v>
      </c>
      <c r="B1" s="85" t="s">
        <v>1</v>
      </c>
      <c r="C1" s="86" t="s">
        <v>2</v>
      </c>
      <c r="D1" s="86" t="s">
        <v>3</v>
      </c>
      <c r="E1" s="22" t="s">
        <v>4</v>
      </c>
      <c r="F1" s="22" t="s">
        <v>5</v>
      </c>
      <c r="G1" s="87" t="s">
        <v>7</v>
      </c>
      <c r="H1" s="88" t="s">
        <v>9</v>
      </c>
      <c r="I1" s="88" t="s">
        <v>10</v>
      </c>
      <c r="J1" s="88" t="s">
        <v>12</v>
      </c>
      <c r="K1" s="88" t="s">
        <v>13</v>
      </c>
      <c r="L1" s="88" t="s">
        <v>14</v>
      </c>
      <c r="M1" s="88" t="s">
        <v>16</v>
      </c>
      <c r="N1" s="88" t="s">
        <v>77</v>
      </c>
      <c r="O1" s="22" t="s">
        <v>78</v>
      </c>
      <c r="P1" s="22" t="s">
        <v>79</v>
      </c>
      <c r="Q1" s="22" t="s">
        <v>80</v>
      </c>
      <c r="R1" s="22" t="s">
        <v>21</v>
      </c>
      <c r="S1" s="22" t="s">
        <v>22</v>
      </c>
      <c r="AE1" s="22" t="s">
        <v>23</v>
      </c>
      <c r="AF1" s="22" t="s">
        <v>24</v>
      </c>
    </row>
    <row r="2" customFormat="false" ht="14.25" hidden="false" customHeight="false" outlineLevel="0" collapsed="false">
      <c r="A2" s="0" t="s">
        <v>29</v>
      </c>
      <c r="B2" s="89" t="n">
        <v>44620</v>
      </c>
      <c r="C2" s="90" t="s">
        <v>30</v>
      </c>
      <c r="D2" s="90" t="n">
        <v>44621</v>
      </c>
      <c r="E2" s="91" t="s">
        <v>31</v>
      </c>
      <c r="F2" s="91" t="s">
        <v>32</v>
      </c>
      <c r="G2" s="92" t="n">
        <v>0.333333333333333</v>
      </c>
      <c r="H2" s="93" t="n">
        <v>12</v>
      </c>
      <c r="I2" s="93" t="n">
        <v>13.3</v>
      </c>
      <c r="J2" s="91" t="n">
        <v>916</v>
      </c>
      <c r="K2" s="94" t="n">
        <v>8.38</v>
      </c>
      <c r="L2" s="91" t="n">
        <v>38099</v>
      </c>
      <c r="M2" s="94"/>
      <c r="N2" s="93" t="n">
        <v>1.1</v>
      </c>
      <c r="O2" s="59" t="n">
        <v>0</v>
      </c>
      <c r="P2" s="59" t="n">
        <v>0</v>
      </c>
      <c r="Q2" s="59" t="n">
        <v>13209.3131244556</v>
      </c>
      <c r="AE2" s="95" t="n">
        <f aca="false">O2/Q2</f>
        <v>0</v>
      </c>
      <c r="AF2" s="95" t="n">
        <f aca="false">P2/Q2</f>
        <v>0</v>
      </c>
      <c r="AU2" s="22" t="s">
        <v>81</v>
      </c>
    </row>
    <row r="3" customFormat="false" ht="30" hidden="false" customHeight="false" outlineLevel="0" collapsed="false">
      <c r="A3" s="0" t="s">
        <v>29</v>
      </c>
      <c r="B3" s="89" t="n">
        <v>44622</v>
      </c>
      <c r="C3" s="90" t="s">
        <v>30</v>
      </c>
      <c r="D3" s="90" t="n">
        <v>44623</v>
      </c>
      <c r="E3" s="91" t="s">
        <v>31</v>
      </c>
      <c r="F3" s="91" t="s">
        <v>32</v>
      </c>
      <c r="G3" s="92" t="n">
        <v>0.333333333333333</v>
      </c>
      <c r="H3" s="93" t="n">
        <v>12</v>
      </c>
      <c r="I3" s="93" t="n">
        <v>12</v>
      </c>
      <c r="J3" s="91" t="n">
        <v>616</v>
      </c>
      <c r="K3" s="93" t="n">
        <v>7.08</v>
      </c>
      <c r="L3" s="91" t="n">
        <v>39278</v>
      </c>
      <c r="M3" s="93"/>
      <c r="N3" s="93" t="n">
        <v>6.9</v>
      </c>
      <c r="O3" s="59" t="n">
        <v>69802.0873955279</v>
      </c>
      <c r="P3" s="59" t="n">
        <v>32133.5542825623</v>
      </c>
      <c r="Q3" s="59" t="n">
        <v>52128395.943441</v>
      </c>
      <c r="AE3" s="95" t="n">
        <f aca="false">O3/Q3</f>
        <v>0.001339041536426</v>
      </c>
      <c r="AF3" s="95" t="n">
        <f aca="false">P3/Q3</f>
        <v>0.000616430904903097</v>
      </c>
      <c r="AU3" s="22" t="s">
        <v>82</v>
      </c>
    </row>
    <row r="4" customFormat="false" ht="14.25" hidden="false" customHeight="false" outlineLevel="0" collapsed="false">
      <c r="A4" s="0" t="s">
        <v>29</v>
      </c>
      <c r="B4" s="89" t="n">
        <v>44627</v>
      </c>
      <c r="C4" s="90" t="s">
        <v>30</v>
      </c>
      <c r="D4" s="90" t="n">
        <v>44628</v>
      </c>
      <c r="E4" s="91" t="s">
        <v>31</v>
      </c>
      <c r="F4" s="91" t="s">
        <v>32</v>
      </c>
      <c r="G4" s="92" t="n">
        <v>0.333333333333333</v>
      </c>
      <c r="H4" s="93" t="n">
        <v>12</v>
      </c>
      <c r="I4" s="93" t="n">
        <v>13.05</v>
      </c>
      <c r="J4" s="91" t="n">
        <v>740</v>
      </c>
      <c r="K4" s="93" t="n">
        <v>8.02</v>
      </c>
      <c r="L4" s="91" t="n">
        <v>38538</v>
      </c>
      <c r="M4" s="93"/>
      <c r="N4" s="93" t="n">
        <v>14.5</v>
      </c>
      <c r="O4" s="59" t="n">
        <v>71179.1496998459</v>
      </c>
      <c r="P4" s="59" t="n">
        <v>22482.9654597618</v>
      </c>
      <c r="Q4" s="59" t="n">
        <v>42685558.626143</v>
      </c>
      <c r="AE4" s="95" t="n">
        <f aca="false">O4/Q4</f>
        <v>0.00166752297476674</v>
      </c>
      <c r="AF4" s="95" t="n">
        <f aca="false">P4/Q4</f>
        <v>0.000526711285582006</v>
      </c>
      <c r="AU4" s="22" t="s">
        <v>83</v>
      </c>
    </row>
    <row r="5" customFormat="false" ht="14.25" hidden="false" customHeight="false" outlineLevel="0" collapsed="false">
      <c r="A5" s="0" t="s">
        <v>29</v>
      </c>
      <c r="B5" s="89" t="n">
        <v>44629</v>
      </c>
      <c r="C5" s="90" t="s">
        <v>30</v>
      </c>
      <c r="D5" s="90" t="n">
        <v>44630</v>
      </c>
      <c r="E5" s="91" t="s">
        <v>31</v>
      </c>
      <c r="F5" s="91" t="s">
        <v>32</v>
      </c>
      <c r="G5" s="92" t="n">
        <v>0.333333333333333</v>
      </c>
      <c r="H5" s="93" t="n">
        <v>12</v>
      </c>
      <c r="I5" s="93" t="n">
        <v>15.56</v>
      </c>
      <c r="J5" s="91" t="n">
        <v>1511</v>
      </c>
      <c r="K5" s="93" t="n">
        <v>8.12</v>
      </c>
      <c r="L5" s="91" t="n">
        <v>38155</v>
      </c>
      <c r="M5" s="93"/>
      <c r="N5" s="93" t="n">
        <v>11.5</v>
      </c>
      <c r="O5" s="59" t="n">
        <v>72760.8442075521</v>
      </c>
      <c r="P5" s="59" t="n">
        <v>28855.4838497299</v>
      </c>
      <c r="Q5" s="59" t="n">
        <v>26709841.7001215</v>
      </c>
      <c r="AE5" s="95" t="n">
        <f aca="false">O5/Q5</f>
        <v>0.00272412113199537</v>
      </c>
      <c r="AF5" s="95" t="n">
        <f aca="false">P5/Q5</f>
        <v>0.00108033151875994</v>
      </c>
      <c r="AU5" s="22" t="s">
        <v>84</v>
      </c>
    </row>
    <row r="6" customFormat="false" ht="14.25" hidden="false" customHeight="false" outlineLevel="0" collapsed="false">
      <c r="A6" s="0" t="s">
        <v>29</v>
      </c>
      <c r="B6" s="89" t="n">
        <v>44634</v>
      </c>
      <c r="C6" s="90" t="s">
        <v>30</v>
      </c>
      <c r="D6" s="90" t="n">
        <v>44635</v>
      </c>
      <c r="E6" s="91" t="s">
        <v>31</v>
      </c>
      <c r="F6" s="91" t="s">
        <v>32</v>
      </c>
      <c r="G6" s="92" t="n">
        <v>0.333333333333333</v>
      </c>
      <c r="H6" s="93" t="n">
        <v>12</v>
      </c>
      <c r="I6" s="93" t="n">
        <v>14</v>
      </c>
      <c r="J6" s="91" t="n">
        <v>1090</v>
      </c>
      <c r="K6" s="93" t="n">
        <v>8.19</v>
      </c>
      <c r="L6" s="91" t="n">
        <v>34958</v>
      </c>
      <c r="M6" s="93"/>
      <c r="N6" s="93" t="n">
        <v>10.5</v>
      </c>
      <c r="O6" s="59" t="n">
        <v>56579.7815346081</v>
      </c>
      <c r="P6" s="59" t="n">
        <v>21823.6889092221</v>
      </c>
      <c r="Q6" s="59" t="n">
        <v>90804935.5558932</v>
      </c>
      <c r="AE6" s="95" t="n">
        <f aca="false">O6/Q6</f>
        <v>0.000623091478323681</v>
      </c>
      <c r="AF6" s="95" t="n">
        <f aca="false">P6/Q6</f>
        <v>0.000240335933015325</v>
      </c>
    </row>
    <row r="7" customFormat="false" ht="14.25" hidden="false" customHeight="false" outlineLevel="0" collapsed="false">
      <c r="A7" s="0" t="s">
        <v>29</v>
      </c>
      <c r="B7" s="89" t="n">
        <v>44636</v>
      </c>
      <c r="C7" s="90" t="s">
        <v>30</v>
      </c>
      <c r="D7" s="90" t="n">
        <v>44637</v>
      </c>
      <c r="E7" s="91" t="s">
        <v>31</v>
      </c>
      <c r="F7" s="91" t="s">
        <v>32</v>
      </c>
      <c r="G7" s="92" t="n">
        <v>0.333333333333333</v>
      </c>
      <c r="H7" s="93" t="n">
        <v>12</v>
      </c>
      <c r="I7" s="93" t="n">
        <v>13.3</v>
      </c>
      <c r="J7" s="91" t="n">
        <v>853</v>
      </c>
      <c r="K7" s="93" t="n">
        <v>8.15</v>
      </c>
      <c r="L7" s="91" t="n">
        <v>18095</v>
      </c>
      <c r="M7" s="93" t="s">
        <v>37</v>
      </c>
      <c r="N7" s="93" t="n">
        <v>24.1</v>
      </c>
      <c r="O7" s="59" t="n">
        <v>109799.433281636</v>
      </c>
      <c r="P7" s="59" t="n">
        <v>39126.0011027829</v>
      </c>
      <c r="Q7" s="59" t="n">
        <v>52885184.5577794</v>
      </c>
      <c r="AE7" s="95" t="n">
        <f aca="false">O7/Q7</f>
        <v>0.00207618512064897</v>
      </c>
      <c r="AF7" s="95" t="n">
        <f aca="false">P7/Q7</f>
        <v>0.000739829149315647</v>
      </c>
    </row>
    <row r="8" customFormat="false" ht="14.25" hidden="false" customHeight="false" outlineLevel="0" collapsed="false">
      <c r="A8" s="0" t="s">
        <v>29</v>
      </c>
      <c r="B8" s="89" t="n">
        <v>44641</v>
      </c>
      <c r="C8" s="90" t="s">
        <v>30</v>
      </c>
      <c r="D8" s="90" t="n">
        <v>44642</v>
      </c>
      <c r="E8" s="91" t="s">
        <v>31</v>
      </c>
      <c r="F8" s="91" t="s">
        <v>32</v>
      </c>
      <c r="G8" s="92" t="n">
        <v>0.333333333333333</v>
      </c>
      <c r="H8" s="93" t="n">
        <v>10</v>
      </c>
      <c r="I8" s="93" t="n">
        <v>15.4</v>
      </c>
      <c r="J8" s="91" t="n">
        <v>1331</v>
      </c>
      <c r="K8" s="93" t="n">
        <v>8.22</v>
      </c>
      <c r="L8" s="91" t="n">
        <v>18157</v>
      </c>
      <c r="M8" s="93" t="s">
        <v>37</v>
      </c>
      <c r="N8" s="93" t="n">
        <v>28.5</v>
      </c>
      <c r="O8" s="59" t="n">
        <v>65029.8141446619</v>
      </c>
      <c r="P8" s="59" t="n">
        <v>37935.2455778697</v>
      </c>
      <c r="Q8" s="59" t="n">
        <v>51441639.8246053</v>
      </c>
      <c r="AE8" s="95" t="n">
        <f aca="false">O8/Q8</f>
        <v>0.00126414737878471</v>
      </c>
      <c r="AF8" s="95" t="n">
        <f aca="false">P8/Q8</f>
        <v>0.000737442385336338</v>
      </c>
    </row>
    <row r="9" customFormat="false" ht="14.25" hidden="false" customHeight="false" outlineLevel="0" collapsed="false">
      <c r="A9" s="0" t="s">
        <v>29</v>
      </c>
      <c r="B9" s="89" t="n">
        <v>44643</v>
      </c>
      <c r="C9" s="90" t="s">
        <v>30</v>
      </c>
      <c r="D9" s="90" t="n">
        <v>44644</v>
      </c>
      <c r="E9" s="91" t="s">
        <v>31</v>
      </c>
      <c r="F9" s="91" t="s">
        <v>32</v>
      </c>
      <c r="G9" s="92" t="n">
        <v>0.333333333333333</v>
      </c>
      <c r="H9" s="93" t="n">
        <v>10</v>
      </c>
      <c r="I9" s="93" t="n">
        <v>15.6</v>
      </c>
      <c r="J9" s="91" t="n">
        <v>1338</v>
      </c>
      <c r="K9" s="93" t="n">
        <v>8.15</v>
      </c>
      <c r="L9" s="91" t="n">
        <v>18158</v>
      </c>
      <c r="M9" s="93" t="s">
        <v>37</v>
      </c>
      <c r="N9" s="93" t="n">
        <v>20.1</v>
      </c>
      <c r="O9" s="59" t="n">
        <v>75016.1172218168</v>
      </c>
      <c r="P9" s="59" t="n">
        <v>32615.3077589074</v>
      </c>
      <c r="Q9" s="59" t="n">
        <v>39149405.1105405</v>
      </c>
      <c r="AE9" s="95" t="n">
        <f aca="false">O9/Q9</f>
        <v>0.00191614960712697</v>
      </c>
      <c r="AF9" s="95" t="n">
        <f aca="false">P9/Q9</f>
        <v>0.000833098425552477</v>
      </c>
    </row>
    <row r="10" customFormat="false" ht="14.25" hidden="false" customHeight="false" outlineLevel="0" collapsed="false">
      <c r="A10" s="0" t="s">
        <v>29</v>
      </c>
      <c r="B10" s="81" t="n">
        <v>44648</v>
      </c>
      <c r="C10" s="90" t="s">
        <v>30</v>
      </c>
      <c r="D10" s="82" t="n">
        <v>44649</v>
      </c>
      <c r="E10" s="91" t="s">
        <v>31</v>
      </c>
      <c r="F10" s="91" t="s">
        <v>32</v>
      </c>
      <c r="G10" s="92" t="n">
        <v>0.333333333333333</v>
      </c>
      <c r="H10" s="93" t="n">
        <v>12</v>
      </c>
      <c r="I10" s="84" t="n">
        <v>16.9</v>
      </c>
      <c r="J10" s="0" t="n">
        <v>1430</v>
      </c>
      <c r="K10" s="84" t="n">
        <v>8.19</v>
      </c>
      <c r="L10" s="96" t="n">
        <v>17755</v>
      </c>
      <c r="M10" s="93" t="s">
        <v>37</v>
      </c>
      <c r="N10" s="84" t="n">
        <v>17.8</v>
      </c>
      <c r="O10" s="59" t="n">
        <v>47283.6478921963</v>
      </c>
      <c r="P10" s="59" t="n">
        <v>25296.368862158</v>
      </c>
      <c r="Q10" s="59" t="n">
        <v>60733753.7415176</v>
      </c>
      <c r="AE10" s="95" t="n">
        <f aca="false">O10/Q10</f>
        <v>0.000778539855998941</v>
      </c>
      <c r="AF10" s="95" t="n">
        <f aca="false">P10/Q10</f>
        <v>0.00041651252069515</v>
      </c>
    </row>
    <row r="11" customFormat="false" ht="14.25" hidden="false" customHeight="false" outlineLevel="0" collapsed="false">
      <c r="A11" s="0" t="s">
        <v>29</v>
      </c>
      <c r="B11" s="81" t="n">
        <v>44650</v>
      </c>
      <c r="C11" s="90" t="s">
        <v>30</v>
      </c>
      <c r="D11" s="82" t="n">
        <v>44651</v>
      </c>
      <c r="E11" s="91" t="s">
        <v>31</v>
      </c>
      <c r="F11" s="91" t="s">
        <v>32</v>
      </c>
      <c r="G11" s="92" t="n">
        <v>0.333333333333333</v>
      </c>
      <c r="H11" s="93" t="n">
        <v>12</v>
      </c>
      <c r="I11" s="84" t="n">
        <v>13.2</v>
      </c>
      <c r="J11" s="84" t="n">
        <v>561</v>
      </c>
      <c r="K11" s="84" t="n">
        <v>7.77</v>
      </c>
      <c r="L11" s="84" t="n">
        <v>19839</v>
      </c>
      <c r="M11" s="93" t="s">
        <v>40</v>
      </c>
      <c r="N11" s="84" t="n">
        <v>36.3</v>
      </c>
      <c r="O11" s="59" t="n">
        <v>50877.6941416524</v>
      </c>
      <c r="P11" s="59" t="n">
        <v>32170.3582577904</v>
      </c>
      <c r="Q11" s="59" t="n">
        <v>24958157.566781</v>
      </c>
      <c r="AE11" s="95" t="n">
        <f aca="false">O11/Q11</f>
        <v>0.00203851963052633</v>
      </c>
      <c r="AF11" s="95" t="n">
        <f aca="false">P11/Q11</f>
        <v>0.00128897167876722</v>
      </c>
    </row>
    <row r="12" customFormat="false" ht="14.25" hidden="false" customHeight="false" outlineLevel="0" collapsed="false">
      <c r="A12" s="0" t="s">
        <v>29</v>
      </c>
      <c r="B12" s="81" t="n">
        <v>44655</v>
      </c>
      <c r="C12" s="90" t="s">
        <v>30</v>
      </c>
      <c r="D12" s="82" t="n">
        <v>44656</v>
      </c>
      <c r="E12" s="91" t="s">
        <v>31</v>
      </c>
      <c r="F12" s="91" t="s">
        <v>32</v>
      </c>
      <c r="G12" s="92" t="n">
        <v>0.333333333333333</v>
      </c>
      <c r="H12" s="93" t="n">
        <v>12</v>
      </c>
      <c r="I12" s="84" t="n">
        <v>13.89</v>
      </c>
      <c r="J12" s="84" t="n">
        <v>440</v>
      </c>
      <c r="K12" s="84" t="n">
        <v>8.2</v>
      </c>
      <c r="L12" s="84" t="n">
        <v>22704</v>
      </c>
      <c r="M12" s="93" t="s">
        <v>40</v>
      </c>
      <c r="N12" s="84" t="n">
        <v>21.6</v>
      </c>
      <c r="O12" s="59" t="n">
        <v>66231.8100708504</v>
      </c>
      <c r="P12" s="59" t="n">
        <v>22977.3056064435</v>
      </c>
      <c r="Q12" s="59" t="n">
        <v>35436920.580008</v>
      </c>
      <c r="AE12" s="95" t="n">
        <f aca="false">O12/Q12</f>
        <v>0.00186900579922894</v>
      </c>
      <c r="AF12" s="95" t="n">
        <f aca="false">P12/Q12</f>
        <v>0.000648400177847459</v>
      </c>
    </row>
    <row r="13" customFormat="false" ht="14.25" hidden="false" customHeight="false" outlineLevel="0" collapsed="false">
      <c r="A13" s="0" t="s">
        <v>29</v>
      </c>
      <c r="B13" s="81" t="n">
        <v>44657</v>
      </c>
      <c r="C13" s="90" t="s">
        <v>30</v>
      </c>
      <c r="D13" s="82" t="n">
        <v>44658</v>
      </c>
      <c r="E13" s="91" t="s">
        <v>31</v>
      </c>
      <c r="F13" s="91" t="s">
        <v>32</v>
      </c>
      <c r="G13" s="92" t="n">
        <v>0.333333333333333</v>
      </c>
      <c r="H13" s="93" t="n">
        <v>12</v>
      </c>
      <c r="I13" s="84" t="n">
        <v>14.4</v>
      </c>
      <c r="J13" s="84" t="n">
        <v>896</v>
      </c>
      <c r="K13" s="84" t="n">
        <v>8.14</v>
      </c>
      <c r="L13" s="84" t="n">
        <v>19554</v>
      </c>
      <c r="M13" s="93" t="s">
        <v>40</v>
      </c>
      <c r="N13" s="84" t="n">
        <v>33.5</v>
      </c>
      <c r="O13" s="59" t="n">
        <v>119450.785764984</v>
      </c>
      <c r="P13" s="59" t="n">
        <v>58876.4442003743</v>
      </c>
      <c r="Q13" s="59" t="n">
        <v>59403871.2574916</v>
      </c>
      <c r="AE13" s="95" t="n">
        <f aca="false">O13/Q13</f>
        <v>0.00201082493844911</v>
      </c>
      <c r="AF13" s="95" t="n">
        <f aca="false">P13/Q13</f>
        <v>0.000991121335260606</v>
      </c>
    </row>
    <row r="14" customFormat="false" ht="14.25" hidden="false" customHeight="false" outlineLevel="0" collapsed="false">
      <c r="A14" s="0" t="s">
        <v>29</v>
      </c>
      <c r="B14" s="81" t="n">
        <v>44662</v>
      </c>
      <c r="C14" s="90" t="s">
        <v>30</v>
      </c>
      <c r="D14" s="82" t="n">
        <v>44663</v>
      </c>
      <c r="E14" s="91" t="s">
        <v>31</v>
      </c>
      <c r="F14" s="91" t="s">
        <v>32</v>
      </c>
      <c r="G14" s="92" t="n">
        <v>0.333333333333333</v>
      </c>
      <c r="H14" s="93" t="n">
        <v>12</v>
      </c>
      <c r="I14" s="84" t="n">
        <v>14</v>
      </c>
      <c r="J14" s="84" t="n">
        <v>834</v>
      </c>
      <c r="K14" s="84" t="n">
        <v>7.94</v>
      </c>
      <c r="L14" s="84" t="n">
        <v>19428</v>
      </c>
      <c r="M14" s="93" t="s">
        <v>41</v>
      </c>
      <c r="N14" s="84" t="n">
        <v>20.6</v>
      </c>
      <c r="O14" s="59" t="n">
        <v>23317.5155439927</v>
      </c>
      <c r="P14" s="59" t="n">
        <v>10182.1215146533</v>
      </c>
      <c r="Q14" s="59" t="n">
        <v>49479283.6017043</v>
      </c>
      <c r="AE14" s="95" t="n">
        <f aca="false">O14/Q14</f>
        <v>0.000471258147787523</v>
      </c>
      <c r="AF14" s="95" t="n">
        <f aca="false">P14/Q14</f>
        <v>0.000205785548485641</v>
      </c>
    </row>
    <row r="15" customFormat="false" ht="14.25" hidden="false" customHeight="false" outlineLevel="0" collapsed="false">
      <c r="A15" s="0" t="s">
        <v>29</v>
      </c>
      <c r="B15" s="81" t="n">
        <v>44664</v>
      </c>
      <c r="C15" s="90" t="s">
        <v>30</v>
      </c>
      <c r="D15" s="82" t="n">
        <v>44665</v>
      </c>
      <c r="E15" s="91" t="s">
        <v>31</v>
      </c>
      <c r="F15" s="91" t="s">
        <v>32</v>
      </c>
      <c r="G15" s="92" t="n">
        <v>0.333333333333333</v>
      </c>
      <c r="H15" s="93" t="n">
        <v>12</v>
      </c>
      <c r="I15" s="84" t="n">
        <v>16.8</v>
      </c>
      <c r="J15" s="84" t="n">
        <v>1331</v>
      </c>
      <c r="K15" s="84" t="n">
        <v>8.05</v>
      </c>
      <c r="L15" s="84" t="n">
        <v>20369</v>
      </c>
      <c r="M15" s="93" t="s">
        <v>40</v>
      </c>
      <c r="N15" s="84" t="n">
        <v>21</v>
      </c>
      <c r="O15" s="59" t="n">
        <v>64319.1129061847</v>
      </c>
      <c r="P15" s="59" t="n">
        <v>30346.0498767453</v>
      </c>
      <c r="Q15" s="59" t="n">
        <v>71882272.6455769</v>
      </c>
      <c r="AE15" s="95" t="n">
        <f aca="false">O15/Q15</f>
        <v>0.000894784075947583</v>
      </c>
      <c r="AF15" s="95" t="n">
        <f aca="false">P15/Q15</f>
        <v>0.000422163194900218</v>
      </c>
    </row>
    <row r="16" customFormat="false" ht="14.25" hidden="false" customHeight="false" outlineLevel="0" collapsed="false">
      <c r="A16" s="0" t="s">
        <v>29</v>
      </c>
      <c r="B16" s="81" t="n">
        <v>44669</v>
      </c>
      <c r="C16" s="90" t="s">
        <v>30</v>
      </c>
      <c r="D16" s="82" t="n">
        <v>44670</v>
      </c>
      <c r="E16" s="91" t="s">
        <v>31</v>
      </c>
      <c r="F16" s="91" t="s">
        <v>32</v>
      </c>
      <c r="G16" s="92" t="n">
        <v>0.333333333333333</v>
      </c>
      <c r="H16" s="93" t="n">
        <v>10</v>
      </c>
      <c r="I16" s="84" t="n">
        <v>16.7</v>
      </c>
      <c r="J16" s="84" t="n">
        <v>1430</v>
      </c>
      <c r="K16" s="84" t="n">
        <v>8.03</v>
      </c>
      <c r="L16" s="84" t="n">
        <v>16377</v>
      </c>
      <c r="M16" s="93" t="s">
        <v>41</v>
      </c>
      <c r="N16" s="84" t="n">
        <v>18.1</v>
      </c>
      <c r="O16" s="59" t="n">
        <v>40245.265275147</v>
      </c>
      <c r="P16" s="59" t="n">
        <v>37935.2455778697</v>
      </c>
      <c r="Q16" s="59" t="n">
        <v>41207786.8457897</v>
      </c>
      <c r="AE16" s="95" t="n">
        <f aca="false">O16/Q16</f>
        <v>0.000976642240597762</v>
      </c>
      <c r="AF16" s="95" t="n">
        <f aca="false">P16/Q16</f>
        <v>0.000920584396338327</v>
      </c>
    </row>
    <row r="17" customFormat="false" ht="14.25" hidden="false" customHeight="false" outlineLevel="0" collapsed="false">
      <c r="A17" s="0" t="s">
        <v>29</v>
      </c>
      <c r="B17" s="81" t="n">
        <v>44671</v>
      </c>
      <c r="C17" s="90" t="s">
        <v>30</v>
      </c>
      <c r="D17" s="82" t="n">
        <v>44672</v>
      </c>
      <c r="E17" s="91" t="s">
        <v>31</v>
      </c>
      <c r="F17" s="91" t="s">
        <v>32</v>
      </c>
      <c r="G17" s="92" t="n">
        <v>0.333333333333333</v>
      </c>
      <c r="H17" s="93" t="n">
        <v>10</v>
      </c>
      <c r="I17" s="84" t="n">
        <v>16.96</v>
      </c>
      <c r="J17" s="84" t="n">
        <v>1490</v>
      </c>
      <c r="K17" s="84" t="n">
        <v>8.13</v>
      </c>
      <c r="L17" s="84" t="n">
        <v>17292</v>
      </c>
      <c r="M17" s="93" t="s">
        <v>41</v>
      </c>
      <c r="N17" s="84" t="n">
        <v>21.5</v>
      </c>
      <c r="O17" s="59" t="n">
        <v>49771.7013475191</v>
      </c>
      <c r="P17" s="59" t="n">
        <v>24526.5025294417</v>
      </c>
      <c r="Q17" s="59" t="n">
        <v>53806567.5044736</v>
      </c>
      <c r="S17" s="0" t="n">
        <v>641</v>
      </c>
      <c r="AE17" s="95" t="n">
        <f aca="false">O17/Q17</f>
        <v>0.000925011641810844</v>
      </c>
      <c r="AF17" s="95" t="n">
        <f aca="false">P17/Q17</f>
        <v>0.000455827302631831</v>
      </c>
    </row>
    <row r="18" customFormat="false" ht="14.25" hidden="false" customHeight="false" outlineLevel="0" collapsed="false">
      <c r="A18" s="0" t="s">
        <v>29</v>
      </c>
      <c r="B18" s="81" t="n">
        <v>44676</v>
      </c>
      <c r="C18" s="90" t="s">
        <v>30</v>
      </c>
      <c r="D18" s="82" t="n">
        <v>44677</v>
      </c>
      <c r="E18" s="91" t="s">
        <v>31</v>
      </c>
      <c r="F18" s="91" t="s">
        <v>32</v>
      </c>
      <c r="G18" s="92" t="n">
        <v>0.333333333333333</v>
      </c>
      <c r="H18" s="93" t="n">
        <v>12</v>
      </c>
      <c r="I18" s="84" t="n">
        <v>15.04</v>
      </c>
      <c r="J18" s="84" t="n">
        <v>840</v>
      </c>
      <c r="K18" s="84" t="n">
        <v>8.1</v>
      </c>
      <c r="L18" s="84" t="n">
        <v>20689</v>
      </c>
      <c r="M18" s="93" t="s">
        <v>40</v>
      </c>
      <c r="N18" s="84" t="n">
        <v>20.6</v>
      </c>
      <c r="O18" s="59" t="n">
        <v>14805.4056992176</v>
      </c>
      <c r="P18" s="59" t="n">
        <v>5857.65161096838</v>
      </c>
      <c r="Q18" s="59" t="n">
        <v>24917701.6148151</v>
      </c>
      <c r="R18" s="0" t="s">
        <v>42</v>
      </c>
      <c r="S18" s="0" t="n">
        <v>602</v>
      </c>
      <c r="AE18" s="95" t="n">
        <f aca="false">O18/Q18</f>
        <v>0.000594172204486743</v>
      </c>
      <c r="AF18" s="95" t="n">
        <f aca="false">P18/Q18</f>
        <v>0.000235079932391743</v>
      </c>
    </row>
    <row r="19" customFormat="false" ht="14.25" hidden="false" customHeight="false" outlineLevel="0" collapsed="false">
      <c r="A19" s="0" t="s">
        <v>29</v>
      </c>
      <c r="B19" s="81" t="n">
        <v>44678</v>
      </c>
      <c r="C19" s="90" t="s">
        <v>30</v>
      </c>
      <c r="D19" s="82" t="n">
        <v>44679</v>
      </c>
      <c r="E19" s="91" t="s">
        <v>31</v>
      </c>
      <c r="F19" s="91" t="s">
        <v>32</v>
      </c>
      <c r="G19" s="92" t="n">
        <v>0.333333333333333</v>
      </c>
      <c r="H19" s="93" t="n">
        <v>12</v>
      </c>
      <c r="I19" s="84" t="n">
        <v>15.8</v>
      </c>
      <c r="J19" s="84" t="n">
        <v>1150</v>
      </c>
      <c r="K19" s="84" t="n">
        <v>8.18</v>
      </c>
      <c r="L19" s="84" t="n">
        <v>26992</v>
      </c>
      <c r="M19" s="93" t="s">
        <v>34</v>
      </c>
      <c r="N19" s="84" t="n">
        <v>6.4</v>
      </c>
      <c r="O19" s="59" t="n">
        <v>5754.24255833863</v>
      </c>
      <c r="P19" s="59" t="n">
        <v>3463.69759101506</v>
      </c>
      <c r="Q19" s="59" t="n">
        <v>17021562.0821752</v>
      </c>
      <c r="S19" s="0" t="n">
        <v>559</v>
      </c>
      <c r="AE19" s="95" t="n">
        <f aca="false">O19/Q19</f>
        <v>0.000338056080315004</v>
      </c>
      <c r="AF19" s="95" t="n">
        <f aca="false">P19/Q19</f>
        <v>0.000203488820490936</v>
      </c>
    </row>
    <row r="20" customFormat="false" ht="14.25" hidden="false" customHeight="false" outlineLevel="0" collapsed="false">
      <c r="A20" s="0" t="s">
        <v>29</v>
      </c>
      <c r="B20" s="81" t="n">
        <v>44683</v>
      </c>
      <c r="C20" s="90" t="s">
        <v>30</v>
      </c>
      <c r="D20" s="82" t="n">
        <v>44684</v>
      </c>
      <c r="E20" s="91" t="s">
        <v>31</v>
      </c>
      <c r="F20" s="91" t="s">
        <v>32</v>
      </c>
      <c r="G20" s="92" t="n">
        <v>0.333333333333333</v>
      </c>
      <c r="H20" s="93" t="n">
        <v>12</v>
      </c>
      <c r="I20" s="84" t="n">
        <v>17.3</v>
      </c>
      <c r="J20" s="84" t="n">
        <v>1319</v>
      </c>
      <c r="K20" s="84" t="n">
        <v>8.11</v>
      </c>
      <c r="L20" s="84" t="n">
        <v>17645</v>
      </c>
      <c r="M20" s="93" t="s">
        <v>34</v>
      </c>
      <c r="N20" s="84" t="n">
        <v>16.4</v>
      </c>
      <c r="O20" s="59" t="n">
        <v>11927.8398134035</v>
      </c>
      <c r="P20" s="59" t="n">
        <v>3463.69759101506</v>
      </c>
      <c r="Q20" s="59" t="n">
        <v>33799854.8432417</v>
      </c>
      <c r="S20" s="0" t="n">
        <v>493.4</v>
      </c>
      <c r="AE20" s="95" t="n">
        <f aca="false">O20/Q20</f>
        <v>0.000352896184576026</v>
      </c>
      <c r="AF20" s="95" t="n">
        <f aca="false">P20/Q20</f>
        <v>0.000102476700183451</v>
      </c>
    </row>
    <row r="21" customFormat="false" ht="14.25" hidden="false" customHeight="false" outlineLevel="0" collapsed="false">
      <c r="A21" s="0" t="s">
        <v>29</v>
      </c>
      <c r="B21" s="81" t="n">
        <v>44685</v>
      </c>
      <c r="C21" s="90" t="s">
        <v>30</v>
      </c>
      <c r="D21" s="82" t="n">
        <v>44686</v>
      </c>
      <c r="E21" s="91" t="s">
        <v>31</v>
      </c>
      <c r="F21" s="91" t="s">
        <v>32</v>
      </c>
      <c r="G21" s="92" t="n">
        <v>0.333333333333333</v>
      </c>
      <c r="H21" s="93" t="n">
        <v>12</v>
      </c>
      <c r="I21" s="84" t="n">
        <v>17.3</v>
      </c>
      <c r="J21" s="84" t="n">
        <v>1320</v>
      </c>
      <c r="K21" s="84" t="n">
        <v>8.16</v>
      </c>
      <c r="L21" s="84" t="n">
        <v>17765</v>
      </c>
      <c r="M21" s="93" t="s">
        <v>41</v>
      </c>
      <c r="N21" s="84" t="n">
        <v>13.7</v>
      </c>
      <c r="O21" s="59" t="n">
        <v>44104.7486416478</v>
      </c>
      <c r="P21" s="59" t="n">
        <v>23861.8688993213</v>
      </c>
      <c r="Q21" s="59" t="n">
        <v>108485339.548941</v>
      </c>
      <c r="R21" s="0" t="s">
        <v>45</v>
      </c>
      <c r="S21" s="0" t="n">
        <v>386.6</v>
      </c>
      <c r="AE21" s="95" t="n">
        <f aca="false">O21/Q21</f>
        <v>0.000406550312005531</v>
      </c>
      <c r="AF21" s="95" t="n">
        <f aca="false">P21/Q21</f>
        <v>0.000219954779129917</v>
      </c>
    </row>
    <row r="22" customFormat="false" ht="14.25" hidden="false" customHeight="false" outlineLevel="0" collapsed="false">
      <c r="A22" s="0" t="s">
        <v>29</v>
      </c>
      <c r="B22" s="81" t="n">
        <v>44690</v>
      </c>
      <c r="C22" s="90" t="s">
        <v>30</v>
      </c>
      <c r="D22" s="82" t="n">
        <v>44691</v>
      </c>
      <c r="E22" s="91" t="s">
        <v>31</v>
      </c>
      <c r="F22" s="91" t="s">
        <v>32</v>
      </c>
      <c r="G22" s="92" t="n">
        <v>0.333333333333333</v>
      </c>
      <c r="H22" s="93" t="n">
        <v>12</v>
      </c>
      <c r="I22" s="84" t="n">
        <v>18.55</v>
      </c>
      <c r="J22" s="84" t="n">
        <v>1630</v>
      </c>
      <c r="K22" s="84" t="n">
        <v>8.05</v>
      </c>
      <c r="L22" s="84" t="n">
        <v>18971</v>
      </c>
      <c r="M22" s="93" t="s">
        <v>41</v>
      </c>
      <c r="N22" s="84" t="n">
        <v>31.7</v>
      </c>
      <c r="O22" s="95"/>
      <c r="P22" s="95"/>
      <c r="Q22" s="95"/>
      <c r="AE22" s="95"/>
      <c r="AF22" s="95"/>
    </row>
    <row r="23" customFormat="false" ht="14.25" hidden="false" customHeight="false" outlineLevel="0" collapsed="false">
      <c r="A23" s="0" t="s">
        <v>29</v>
      </c>
      <c r="B23" s="81" t="n">
        <v>44692</v>
      </c>
      <c r="C23" s="90" t="s">
        <v>30</v>
      </c>
      <c r="D23" s="82" t="n">
        <v>44693</v>
      </c>
      <c r="E23" s="91" t="s">
        <v>31</v>
      </c>
      <c r="F23" s="91" t="s">
        <v>32</v>
      </c>
      <c r="G23" s="92" t="n">
        <v>0.333333333333333</v>
      </c>
      <c r="H23" s="93" t="n">
        <v>12</v>
      </c>
      <c r="I23" s="84" t="n">
        <v>18.88</v>
      </c>
      <c r="J23" s="84" t="n">
        <v>1520</v>
      </c>
      <c r="K23" s="84" t="n">
        <v>8.11</v>
      </c>
      <c r="L23" s="84" t="n">
        <v>17236</v>
      </c>
      <c r="M23" s="93" t="s">
        <v>41</v>
      </c>
      <c r="N23" s="93" t="s">
        <v>47</v>
      </c>
      <c r="O23" s="95"/>
      <c r="P23" s="95"/>
      <c r="Q23" s="95"/>
      <c r="R23" s="0" t="s">
        <v>48</v>
      </c>
      <c r="AE23" s="95"/>
      <c r="AF23" s="95"/>
    </row>
    <row r="24" customFormat="false" ht="14.25" hidden="false" customHeight="false" outlineLevel="0" collapsed="false">
      <c r="A24" s="0" t="s">
        <v>29</v>
      </c>
      <c r="B24" s="81" t="n">
        <v>44697</v>
      </c>
      <c r="C24" s="90" t="s">
        <v>30</v>
      </c>
      <c r="D24" s="82" t="n">
        <v>44698</v>
      </c>
      <c r="E24" s="91" t="s">
        <v>31</v>
      </c>
      <c r="F24" s="91" t="s">
        <v>32</v>
      </c>
      <c r="G24" s="92" t="n">
        <v>0.333333333333333</v>
      </c>
      <c r="H24" s="93" t="n">
        <v>12</v>
      </c>
      <c r="I24" s="84" t="n">
        <v>18.07</v>
      </c>
      <c r="J24" s="84" t="n">
        <v>1000</v>
      </c>
      <c r="K24" s="84" t="n">
        <v>7.9</v>
      </c>
      <c r="L24" s="84" t="n">
        <v>39705</v>
      </c>
      <c r="M24" s="93" t="s">
        <v>52</v>
      </c>
      <c r="N24" s="84" t="n">
        <v>18.8</v>
      </c>
      <c r="O24" s="95"/>
      <c r="P24" s="95"/>
      <c r="Q24" s="95"/>
      <c r="S24" s="0" t="n">
        <v>290.4</v>
      </c>
      <c r="AE24" s="95"/>
      <c r="AF24" s="95"/>
    </row>
    <row r="25" customFormat="false" ht="14.25" hidden="false" customHeight="false" outlineLevel="0" collapsed="false">
      <c r="A25" s="0" t="s">
        <v>29</v>
      </c>
      <c r="B25" s="81" t="n">
        <v>44699</v>
      </c>
      <c r="C25" s="90" t="s">
        <v>30</v>
      </c>
      <c r="D25" s="82" t="n">
        <v>44700</v>
      </c>
      <c r="E25" s="91" t="s">
        <v>31</v>
      </c>
      <c r="F25" s="91" t="s">
        <v>32</v>
      </c>
      <c r="G25" s="92" t="n">
        <v>0.333333333333333</v>
      </c>
      <c r="H25" s="93" t="n">
        <v>10</v>
      </c>
      <c r="I25" s="84" t="n">
        <v>19.15</v>
      </c>
      <c r="J25" s="84" t="n">
        <v>1420</v>
      </c>
      <c r="K25" s="84" t="n">
        <v>7.99</v>
      </c>
      <c r="L25" s="84" t="n">
        <v>23820</v>
      </c>
      <c r="M25" s="93" t="s">
        <v>34</v>
      </c>
      <c r="N25" s="84" t="n">
        <v>6</v>
      </c>
      <c r="O25" s="95"/>
      <c r="P25" s="95"/>
      <c r="Q25" s="95"/>
      <c r="S25" s="0" t="n">
        <v>273.2</v>
      </c>
      <c r="AE25" s="95"/>
      <c r="AF25" s="95"/>
    </row>
    <row r="26" customFormat="false" ht="14.25" hidden="false" customHeight="false" outlineLevel="0" collapsed="false">
      <c r="A26" s="0" t="s">
        <v>29</v>
      </c>
      <c r="B26" s="81" t="n">
        <v>44704</v>
      </c>
      <c r="C26" s="90" t="s">
        <v>30</v>
      </c>
      <c r="D26" s="82" t="n">
        <v>44705</v>
      </c>
      <c r="E26" s="91" t="s">
        <v>31</v>
      </c>
      <c r="F26" s="91" t="s">
        <v>32</v>
      </c>
      <c r="G26" s="92" t="n">
        <v>0.333333333333333</v>
      </c>
      <c r="H26" s="93" t="n">
        <v>12</v>
      </c>
      <c r="I26" s="84" t="n">
        <v>16.9</v>
      </c>
      <c r="J26" s="84" t="n">
        <v>280</v>
      </c>
      <c r="K26" s="84" t="n">
        <v>7.67</v>
      </c>
      <c r="L26" s="84" t="n">
        <v>52923</v>
      </c>
      <c r="M26" s="93" t="s">
        <v>53</v>
      </c>
      <c r="N26" s="84" t="n">
        <v>4.4</v>
      </c>
      <c r="O26" s="95"/>
      <c r="P26" s="95"/>
      <c r="Q26" s="95"/>
      <c r="S26" s="0" t="n">
        <v>192.1</v>
      </c>
      <c r="AE26" s="95"/>
      <c r="AF26" s="95"/>
    </row>
    <row r="27" customFormat="false" ht="14.25" hidden="false" customHeight="false" outlineLevel="0" collapsed="false">
      <c r="A27" s="0" t="s">
        <v>29</v>
      </c>
      <c r="B27" s="81" t="n">
        <v>44705</v>
      </c>
      <c r="C27" s="90" t="s">
        <v>30</v>
      </c>
      <c r="D27" s="82" t="n">
        <v>44706</v>
      </c>
      <c r="E27" s="91" t="s">
        <v>31</v>
      </c>
      <c r="F27" s="91" t="s">
        <v>32</v>
      </c>
      <c r="G27" s="92" t="n">
        <v>0.333333333333333</v>
      </c>
      <c r="H27" s="93" t="n">
        <v>12</v>
      </c>
      <c r="I27" s="84" t="n">
        <v>18.4</v>
      </c>
      <c r="J27" s="84" t="n">
        <v>1240</v>
      </c>
      <c r="K27" s="84" t="n">
        <v>8.15</v>
      </c>
      <c r="L27" s="84" t="n">
        <v>53872</v>
      </c>
      <c r="M27" s="93" t="s">
        <v>34</v>
      </c>
      <c r="N27" s="84" t="n">
        <v>2.8</v>
      </c>
      <c r="O27" s="95"/>
      <c r="P27" s="95"/>
      <c r="Q27" s="95"/>
      <c r="AE27" s="95"/>
      <c r="AF27" s="95"/>
    </row>
    <row r="28" customFormat="false" ht="14.25" hidden="false" customHeight="false" outlineLevel="0" collapsed="false">
      <c r="A28" s="0" t="s">
        <v>29</v>
      </c>
      <c r="B28" s="81" t="n">
        <v>44711</v>
      </c>
      <c r="C28" s="90" t="s">
        <v>30</v>
      </c>
      <c r="D28" s="82" t="n">
        <v>44712</v>
      </c>
      <c r="E28" s="91" t="s">
        <v>31</v>
      </c>
      <c r="F28" s="91" t="s">
        <v>32</v>
      </c>
      <c r="G28" s="92" t="n">
        <v>0.333333333333333</v>
      </c>
      <c r="H28" s="93" t="n">
        <v>12</v>
      </c>
      <c r="I28" s="84" t="n">
        <v>17.61</v>
      </c>
      <c r="J28" s="84" t="n">
        <v>970</v>
      </c>
      <c r="K28" s="84" t="n">
        <v>8.04</v>
      </c>
      <c r="L28" s="84" t="n">
        <v>19955</v>
      </c>
      <c r="M28" s="93" t="s">
        <v>40</v>
      </c>
      <c r="N28" s="84" t="n">
        <v>9.1</v>
      </c>
      <c r="O28" s="95"/>
      <c r="P28" s="95"/>
      <c r="Q28" s="95"/>
      <c r="S28" s="0" t="n">
        <v>147.3</v>
      </c>
      <c r="AE28" s="95"/>
      <c r="AF28" s="95"/>
    </row>
    <row r="29" customFormat="false" ht="14.25" hidden="false" customHeight="false" outlineLevel="0" collapsed="false">
      <c r="A29" s="0" t="s">
        <v>29</v>
      </c>
      <c r="B29" s="81" t="n">
        <v>44713</v>
      </c>
      <c r="C29" s="90" t="s">
        <v>30</v>
      </c>
      <c r="D29" s="82" t="n">
        <v>44714</v>
      </c>
      <c r="E29" s="91" t="s">
        <v>31</v>
      </c>
      <c r="F29" s="91" t="s">
        <v>32</v>
      </c>
      <c r="G29" s="92" t="n">
        <v>0.333333333333333</v>
      </c>
      <c r="H29" s="93" t="n">
        <v>12</v>
      </c>
      <c r="I29" s="84" t="n">
        <v>19.19</v>
      </c>
      <c r="J29" s="84" t="n">
        <v>1417</v>
      </c>
      <c r="K29" s="84" t="n">
        <v>8.02</v>
      </c>
      <c r="L29" s="84" t="n">
        <v>17531</v>
      </c>
      <c r="M29" s="93" t="s">
        <v>34</v>
      </c>
      <c r="N29" s="84" t="n">
        <v>10.1</v>
      </c>
      <c r="O29" s="95"/>
      <c r="P29" s="95"/>
      <c r="Q29" s="95"/>
      <c r="S29" s="0" t="n">
        <v>164.6</v>
      </c>
      <c r="AE29" s="95"/>
      <c r="AF29" s="95"/>
    </row>
    <row r="30" customFormat="false" ht="14.25" hidden="false" customHeight="false" outlineLevel="0" collapsed="false">
      <c r="A30" s="0" t="s">
        <v>29</v>
      </c>
      <c r="B30" s="81" t="n">
        <v>44718</v>
      </c>
      <c r="C30" s="90" t="s">
        <v>30</v>
      </c>
      <c r="D30" s="82" t="n">
        <v>44719</v>
      </c>
      <c r="E30" s="91" t="s">
        <v>31</v>
      </c>
      <c r="F30" s="91" t="s">
        <v>32</v>
      </c>
      <c r="G30" s="92" t="n">
        <v>0.333333333333333</v>
      </c>
      <c r="H30" s="93" t="n">
        <v>12</v>
      </c>
      <c r="I30" s="84" t="n">
        <v>17.56</v>
      </c>
      <c r="J30" s="84" t="n">
        <v>910</v>
      </c>
      <c r="K30" s="84" t="n">
        <v>7.39</v>
      </c>
      <c r="L30" s="84" t="n">
        <v>17764</v>
      </c>
      <c r="M30" s="93" t="s">
        <v>40</v>
      </c>
      <c r="N30" s="84" t="n">
        <v>11.2</v>
      </c>
      <c r="O30" s="95"/>
      <c r="P30" s="95"/>
      <c r="Q30" s="95"/>
      <c r="S30" s="0" t="n">
        <v>147.6</v>
      </c>
      <c r="AE30" s="95"/>
      <c r="AF30" s="95"/>
    </row>
    <row r="31" customFormat="false" ht="14.25" hidden="false" customHeight="false" outlineLevel="0" collapsed="false">
      <c r="A31" s="0" t="s">
        <v>29</v>
      </c>
      <c r="B31" s="81" t="n">
        <v>44720</v>
      </c>
      <c r="C31" s="90" t="s">
        <v>30</v>
      </c>
      <c r="D31" s="82" t="n">
        <v>44721</v>
      </c>
      <c r="E31" s="91" t="s">
        <v>31</v>
      </c>
      <c r="F31" s="91" t="s">
        <v>32</v>
      </c>
      <c r="G31" s="92" t="n">
        <v>0.333333333333333</v>
      </c>
      <c r="H31" s="93" t="n">
        <v>12</v>
      </c>
      <c r="I31" s="84" t="n">
        <v>17.8</v>
      </c>
      <c r="J31" s="84" t="n">
        <v>2</v>
      </c>
      <c r="K31" s="84" t="n">
        <v>7.8</v>
      </c>
      <c r="L31" s="84" t="n">
        <v>56201</v>
      </c>
      <c r="M31" s="93" t="s">
        <v>40</v>
      </c>
      <c r="O31" s="95"/>
      <c r="P31" s="95"/>
      <c r="Q31" s="95"/>
      <c r="S31" s="0" t="n">
        <v>240.2</v>
      </c>
      <c r="AE31" s="95"/>
      <c r="AF31" s="95"/>
    </row>
    <row r="32" customFormat="false" ht="14.25" hidden="false" customHeight="false" outlineLevel="0" collapsed="false">
      <c r="A32" s="0" t="s">
        <v>29</v>
      </c>
      <c r="B32" s="89" t="n">
        <v>44620</v>
      </c>
      <c r="C32" s="90" t="s">
        <v>30</v>
      </c>
      <c r="D32" s="90" t="n">
        <v>44621</v>
      </c>
      <c r="E32" s="91" t="s">
        <v>35</v>
      </c>
      <c r="F32" s="91" t="s">
        <v>36</v>
      </c>
      <c r="G32" s="92" t="n">
        <v>0.333333333333333</v>
      </c>
      <c r="H32" s="93" t="n">
        <v>12</v>
      </c>
      <c r="I32" s="93" t="n">
        <v>11.8</v>
      </c>
      <c r="J32" s="91" t="n">
        <v>578</v>
      </c>
      <c r="K32" s="94" t="n">
        <v>6.92</v>
      </c>
      <c r="L32" s="91" t="n">
        <v>38099</v>
      </c>
      <c r="M32" s="94"/>
      <c r="N32" s="93" t="n">
        <v>8.6</v>
      </c>
      <c r="O32" s="59" t="n">
        <v>5754.24255833863</v>
      </c>
      <c r="P32" s="59" t="n">
        <v>3463.69759101506</v>
      </c>
      <c r="Q32" s="59" t="n">
        <v>5426348.22385588</v>
      </c>
      <c r="AE32" s="95" t="n">
        <f aca="false">O32/Q32</f>
        <v>0.00106042633479385</v>
      </c>
      <c r="AF32" s="95" t="n">
        <f aca="false">P32/Q32</f>
        <v>0.000638310968652471</v>
      </c>
    </row>
    <row r="33" customFormat="false" ht="14.25" hidden="false" customHeight="false" outlineLevel="0" collapsed="false">
      <c r="A33" s="0" t="s">
        <v>29</v>
      </c>
      <c r="B33" s="89" t="n">
        <v>44622</v>
      </c>
      <c r="C33" s="90" t="s">
        <v>30</v>
      </c>
      <c r="D33" s="90" t="n">
        <v>44623</v>
      </c>
      <c r="E33" s="91" t="s">
        <v>35</v>
      </c>
      <c r="F33" s="91" t="s">
        <v>36</v>
      </c>
      <c r="G33" s="92" t="n">
        <v>0.333333333333333</v>
      </c>
      <c r="H33" s="93" t="n">
        <v>12</v>
      </c>
      <c r="I33" s="93" t="n">
        <v>15.6</v>
      </c>
      <c r="J33" s="91" t="n">
        <v>1349</v>
      </c>
      <c r="K33" s="93" t="n">
        <v>8.4</v>
      </c>
      <c r="L33" s="91" t="n">
        <v>39278</v>
      </c>
      <c r="M33" s="93"/>
      <c r="N33" s="93" t="n">
        <v>3</v>
      </c>
      <c r="O33" s="59" t="n">
        <v>11913.2847940839</v>
      </c>
      <c r="P33" s="59" t="n">
        <v>8173.14001577588</v>
      </c>
      <c r="Q33" s="59" t="n">
        <v>7364684.80990078</v>
      </c>
      <c r="AE33" s="95" t="n">
        <f aca="false">O33/Q33</f>
        <v>0.00161762317079315</v>
      </c>
      <c r="AF33" s="95" t="n">
        <f aca="false">P33/Q33</f>
        <v>0.00110977458326366</v>
      </c>
    </row>
    <row r="34" customFormat="false" ht="14.25" hidden="false" customHeight="false" outlineLevel="0" collapsed="false">
      <c r="A34" s="0" t="s">
        <v>29</v>
      </c>
      <c r="B34" s="89" t="n">
        <v>44627</v>
      </c>
      <c r="C34" s="90" t="s">
        <v>30</v>
      </c>
      <c r="D34" s="90" t="n">
        <v>44628</v>
      </c>
      <c r="E34" s="91" t="s">
        <v>35</v>
      </c>
      <c r="F34" s="91" t="s">
        <v>36</v>
      </c>
      <c r="G34" s="92" t="n">
        <v>0.333333333333333</v>
      </c>
      <c r="H34" s="93" t="n">
        <v>12</v>
      </c>
      <c r="I34" s="93" t="n">
        <v>14.38</v>
      </c>
      <c r="J34" s="91" t="n">
        <v>640</v>
      </c>
      <c r="K34" s="93" t="n">
        <v>5.98</v>
      </c>
      <c r="L34" s="91" t="n">
        <v>38538</v>
      </c>
      <c r="M34" s="93"/>
      <c r="N34" s="93" t="n">
        <v>7.6</v>
      </c>
      <c r="O34" s="59" t="n">
        <v>17522.5834622405</v>
      </c>
      <c r="P34" s="59" t="n">
        <v>10906.01757883</v>
      </c>
      <c r="Q34" s="59" t="n">
        <v>8340562.35263117</v>
      </c>
      <c r="AE34" s="95" t="n">
        <f aca="false">O34/Q34</f>
        <v>0.0021008875326869</v>
      </c>
      <c r="AF34" s="95" t="n">
        <f aca="false">P34/Q34</f>
        <v>0.00130758780016668</v>
      </c>
    </row>
    <row r="35" customFormat="false" ht="14.25" hidden="false" customHeight="false" outlineLevel="0" collapsed="false">
      <c r="A35" s="0" t="s">
        <v>29</v>
      </c>
      <c r="B35" s="89" t="n">
        <v>44629</v>
      </c>
      <c r="C35" s="90" t="s">
        <v>30</v>
      </c>
      <c r="D35" s="90" t="n">
        <v>44630</v>
      </c>
      <c r="E35" s="91" t="s">
        <v>35</v>
      </c>
      <c r="F35" s="91" t="s">
        <v>36</v>
      </c>
      <c r="G35" s="92" t="n">
        <v>0.333333333333333</v>
      </c>
      <c r="H35" s="93" t="n">
        <v>12</v>
      </c>
      <c r="I35" s="93" t="n">
        <v>13.91</v>
      </c>
      <c r="J35" s="91" t="n">
        <v>683</v>
      </c>
      <c r="K35" s="93" t="n">
        <v>6.96</v>
      </c>
      <c r="L35" s="91" t="n">
        <v>38155</v>
      </c>
      <c r="M35" s="93"/>
      <c r="N35" s="93" t="n">
        <v>5.6</v>
      </c>
      <c r="O35" s="59" t="n">
        <v>16728.1425901377</v>
      </c>
      <c r="P35" s="59" t="n">
        <v>8936.45416059012</v>
      </c>
      <c r="Q35" s="59" t="n">
        <v>3611151.04326161</v>
      </c>
      <c r="AE35" s="95" t="n">
        <f aca="false">O35/Q35</f>
        <v>0.0046323574920391</v>
      </c>
      <c r="AF35" s="95" t="n">
        <f aca="false">P35/Q35</f>
        <v>0.00247468301755627</v>
      </c>
    </row>
    <row r="36" customFormat="false" ht="14.25" hidden="false" customHeight="false" outlineLevel="0" collapsed="false">
      <c r="A36" s="0" t="s">
        <v>29</v>
      </c>
      <c r="B36" s="89" t="n">
        <v>44634</v>
      </c>
      <c r="C36" s="90" t="s">
        <v>30</v>
      </c>
      <c r="D36" s="90" t="n">
        <v>44635</v>
      </c>
      <c r="E36" s="91" t="s">
        <v>35</v>
      </c>
      <c r="F36" s="91" t="s">
        <v>36</v>
      </c>
      <c r="G36" s="92" t="n">
        <v>0.333333333333333</v>
      </c>
      <c r="H36" s="93" t="n">
        <v>12</v>
      </c>
      <c r="I36" s="93" t="n">
        <v>13.8</v>
      </c>
      <c r="J36" s="91" t="n">
        <v>516</v>
      </c>
      <c r="K36" s="93" t="n">
        <v>6.68</v>
      </c>
      <c r="L36" s="91" t="n">
        <v>34877</v>
      </c>
      <c r="M36" s="93"/>
      <c r="N36" s="93" t="n">
        <v>2.4</v>
      </c>
      <c r="O36" s="59" t="n">
        <v>9823.09213114015</v>
      </c>
      <c r="P36" s="59" t="n">
        <v>6083.15514416229</v>
      </c>
      <c r="Q36" s="59" t="n">
        <v>10880176.0543215</v>
      </c>
      <c r="AE36" s="95" t="n">
        <f aca="false">O36/Q36</f>
        <v>0.000902843123318624</v>
      </c>
      <c r="AF36" s="95" t="n">
        <f aca="false">P36/Q36</f>
        <v>0.000559104477151002</v>
      </c>
    </row>
    <row r="37" customFormat="false" ht="14.25" hidden="false" customHeight="false" outlineLevel="0" collapsed="false">
      <c r="A37" s="0" t="s">
        <v>29</v>
      </c>
      <c r="B37" s="89" t="n">
        <v>44636</v>
      </c>
      <c r="C37" s="90" t="s">
        <v>30</v>
      </c>
      <c r="D37" s="90" t="n">
        <v>44637</v>
      </c>
      <c r="E37" s="91" t="s">
        <v>35</v>
      </c>
      <c r="F37" s="91" t="s">
        <v>36</v>
      </c>
      <c r="G37" s="92" t="n">
        <v>0.333333333333333</v>
      </c>
      <c r="H37" s="93" t="n">
        <v>12</v>
      </c>
      <c r="I37" s="93" t="n">
        <v>14.2</v>
      </c>
      <c r="J37" s="91" t="n">
        <v>542</v>
      </c>
      <c r="K37" s="93" t="n">
        <v>7.45</v>
      </c>
      <c r="L37" s="91" t="n">
        <v>20756</v>
      </c>
      <c r="M37" s="93" t="s">
        <v>37</v>
      </c>
      <c r="N37" s="93" t="n">
        <v>6.1</v>
      </c>
      <c r="O37" s="59" t="n">
        <v>76402.6976462743</v>
      </c>
      <c r="P37" s="59" t="n">
        <v>33523.754221536</v>
      </c>
      <c r="Q37" s="59" t="n">
        <v>24866230.7553667</v>
      </c>
      <c r="AE37" s="95" t="n">
        <f aca="false">O37/Q37</f>
        <v>0.00307254840502053</v>
      </c>
      <c r="AF37" s="95" t="n">
        <f aca="false">P37/Q37</f>
        <v>0.0013481638834346</v>
      </c>
    </row>
    <row r="38" customFormat="false" ht="14.25" hidden="false" customHeight="false" outlineLevel="0" collapsed="false">
      <c r="A38" s="0" t="s">
        <v>29</v>
      </c>
      <c r="B38" s="89" t="n">
        <v>44641</v>
      </c>
      <c r="C38" s="90" t="s">
        <v>30</v>
      </c>
      <c r="D38" s="90" t="n">
        <v>44642</v>
      </c>
      <c r="E38" s="91" t="s">
        <v>35</v>
      </c>
      <c r="F38" s="91" t="s">
        <v>36</v>
      </c>
      <c r="G38" s="92" t="n">
        <v>0.333333333333333</v>
      </c>
      <c r="H38" s="93" t="n">
        <v>10</v>
      </c>
      <c r="I38" s="93" t="n">
        <v>12.8</v>
      </c>
      <c r="J38" s="91" t="n">
        <v>695</v>
      </c>
      <c r="K38" s="93" t="n">
        <v>7.06</v>
      </c>
      <c r="L38" s="91" t="n">
        <v>18136</v>
      </c>
      <c r="M38" s="93" t="s">
        <v>37</v>
      </c>
      <c r="N38" s="93" t="n">
        <v>4.8</v>
      </c>
      <c r="O38" s="59" t="n">
        <v>65029.8141446619</v>
      </c>
      <c r="P38" s="59" t="n">
        <v>37935.2455778697</v>
      </c>
      <c r="Q38" s="59" t="n">
        <v>51441639.8246053</v>
      </c>
      <c r="AE38" s="95" t="n">
        <f aca="false">O38/Q38</f>
        <v>0.00126414737878471</v>
      </c>
      <c r="AF38" s="95" t="n">
        <f aca="false">P38/Q38</f>
        <v>0.000737442385336338</v>
      </c>
    </row>
    <row r="39" customFormat="false" ht="14.25" hidden="false" customHeight="false" outlineLevel="0" collapsed="false">
      <c r="A39" s="0" t="s">
        <v>29</v>
      </c>
      <c r="B39" s="89" t="n">
        <v>44643</v>
      </c>
      <c r="C39" s="90" t="s">
        <v>30</v>
      </c>
      <c r="D39" s="90" t="n">
        <v>44644</v>
      </c>
      <c r="E39" s="91" t="s">
        <v>35</v>
      </c>
      <c r="F39" s="91" t="s">
        <v>36</v>
      </c>
      <c r="G39" s="92" t="n">
        <v>0.333333333333333</v>
      </c>
      <c r="H39" s="93" t="n">
        <v>10</v>
      </c>
      <c r="I39" s="93" t="n">
        <v>15.1</v>
      </c>
      <c r="J39" s="91" t="n">
        <v>643</v>
      </c>
      <c r="K39" s="93" t="n">
        <v>5.83</v>
      </c>
      <c r="L39" s="91" t="n">
        <v>20292</v>
      </c>
      <c r="M39" s="93" t="s">
        <v>37</v>
      </c>
      <c r="N39" s="93" t="n">
        <v>9.3</v>
      </c>
      <c r="O39" s="59" t="n">
        <v>29049.028430992</v>
      </c>
      <c r="P39" s="59" t="n">
        <v>15533.8808478941</v>
      </c>
      <c r="Q39" s="59" t="n">
        <v>12425909.2847162</v>
      </c>
      <c r="AE39" s="95" t="n">
        <f aca="false">O39/Q39</f>
        <v>0.00233777889129788</v>
      </c>
      <c r="AF39" s="95" t="n">
        <f aca="false">P39/Q39</f>
        <v>0.00125012025212518</v>
      </c>
    </row>
    <row r="40" customFormat="false" ht="14.25" hidden="false" customHeight="false" outlineLevel="0" collapsed="false">
      <c r="A40" s="0" t="s">
        <v>29</v>
      </c>
      <c r="B40" s="81" t="n">
        <v>44648</v>
      </c>
      <c r="C40" s="90" t="s">
        <v>30</v>
      </c>
      <c r="D40" s="82" t="n">
        <v>44649</v>
      </c>
      <c r="E40" s="91" t="s">
        <v>35</v>
      </c>
      <c r="F40" s="91" t="s">
        <v>36</v>
      </c>
      <c r="G40" s="92" t="n">
        <v>0.333333333333333</v>
      </c>
      <c r="H40" s="93" t="n">
        <v>12</v>
      </c>
      <c r="I40" s="84" t="n">
        <v>14.9</v>
      </c>
      <c r="J40" s="84" t="n">
        <v>500</v>
      </c>
      <c r="K40" s="84" t="n">
        <v>6.44</v>
      </c>
      <c r="L40" s="0" t="n">
        <v>19418</v>
      </c>
      <c r="M40" s="93" t="s">
        <v>37</v>
      </c>
      <c r="N40" s="84" t="n">
        <v>20.4</v>
      </c>
      <c r="O40" s="59" t="n">
        <v>51628.6428831375</v>
      </c>
      <c r="P40" s="59" t="n">
        <v>21014.6812742487</v>
      </c>
      <c r="Q40" s="59" t="n">
        <v>25800943.407639</v>
      </c>
      <c r="AE40" s="95" t="n">
        <f aca="false">O40/Q40</f>
        <v>0.00200103701897395</v>
      </c>
      <c r="AF40" s="95" t="n">
        <f aca="false">P40/Q40</f>
        <v>0.000814492747115083</v>
      </c>
    </row>
    <row r="41" customFormat="false" ht="14.25" hidden="false" customHeight="false" outlineLevel="0" collapsed="false">
      <c r="A41" s="0" t="s">
        <v>29</v>
      </c>
      <c r="B41" s="81" t="n">
        <v>44650</v>
      </c>
      <c r="C41" s="90" t="s">
        <v>30</v>
      </c>
      <c r="D41" s="82" t="n">
        <v>44651</v>
      </c>
      <c r="E41" s="91" t="s">
        <v>35</v>
      </c>
      <c r="F41" s="91" t="s">
        <v>36</v>
      </c>
      <c r="G41" s="92" t="n">
        <v>0.333333333333333</v>
      </c>
      <c r="H41" s="93" t="n">
        <v>12</v>
      </c>
      <c r="I41" s="84" t="n">
        <v>14.2</v>
      </c>
      <c r="J41" s="84" t="n">
        <v>445</v>
      </c>
      <c r="K41" s="84" t="n">
        <v>7.08</v>
      </c>
      <c r="L41" s="84" t="n">
        <v>21524</v>
      </c>
      <c r="M41" s="93" t="s">
        <v>40</v>
      </c>
      <c r="N41" s="84" t="n">
        <v>71.7</v>
      </c>
      <c r="O41" s="59" t="n">
        <v>53948.6493983922</v>
      </c>
      <c r="P41" s="59" t="n">
        <v>31298.5869171567</v>
      </c>
      <c r="Q41" s="59" t="n">
        <v>61636841.3688284</v>
      </c>
      <c r="AE41" s="95" t="n">
        <f aca="false">O41/Q41</f>
        <v>0.000875266288802327</v>
      </c>
      <c r="AF41" s="95" t="n">
        <f aca="false">P41/Q41</f>
        <v>0.000507790247230049</v>
      </c>
    </row>
    <row r="42" customFormat="false" ht="14.25" hidden="false" customHeight="false" outlineLevel="0" collapsed="false">
      <c r="A42" s="0" t="s">
        <v>29</v>
      </c>
      <c r="B42" s="81" t="n">
        <v>44655</v>
      </c>
      <c r="C42" s="90" t="s">
        <v>30</v>
      </c>
      <c r="D42" s="82" t="n">
        <v>44656</v>
      </c>
      <c r="E42" s="91" t="s">
        <v>35</v>
      </c>
      <c r="F42" s="91" t="s">
        <v>36</v>
      </c>
      <c r="G42" s="92" t="n">
        <v>0.333333333333333</v>
      </c>
      <c r="H42" s="93" t="n">
        <v>12</v>
      </c>
      <c r="I42" s="84" t="n">
        <v>13.37</v>
      </c>
      <c r="J42" s="84" t="n">
        <v>670</v>
      </c>
      <c r="K42" s="84" t="n">
        <v>8.16</v>
      </c>
      <c r="L42" s="84" t="n">
        <v>24639</v>
      </c>
      <c r="M42" s="93" t="s">
        <v>40</v>
      </c>
      <c r="N42" s="84" t="n">
        <v>6.3</v>
      </c>
      <c r="O42" s="59" t="n">
        <v>20587.05939508</v>
      </c>
      <c r="P42" s="59" t="n">
        <v>12048.047582253</v>
      </c>
      <c r="Q42" s="59" t="n">
        <v>20373778.2843116</v>
      </c>
      <c r="AE42" s="95" t="n">
        <f aca="false">O42/Q42</f>
        <v>0.00101046841227936</v>
      </c>
      <c r="AF42" s="95" t="n">
        <f aca="false">P42/Q42</f>
        <v>0.000591350677038157</v>
      </c>
    </row>
    <row r="43" customFormat="false" ht="14.25" hidden="false" customHeight="false" outlineLevel="0" collapsed="false">
      <c r="A43" s="0" t="s">
        <v>29</v>
      </c>
      <c r="B43" s="81" t="n">
        <v>44657</v>
      </c>
      <c r="C43" s="90" t="s">
        <v>30</v>
      </c>
      <c r="D43" s="82" t="n">
        <v>44658</v>
      </c>
      <c r="E43" s="91" t="s">
        <v>35</v>
      </c>
      <c r="F43" s="91" t="s">
        <v>36</v>
      </c>
      <c r="G43" s="92" t="n">
        <v>0.333333333333333</v>
      </c>
      <c r="H43" s="93" t="n">
        <v>12</v>
      </c>
      <c r="I43" s="84" t="n">
        <v>13.7</v>
      </c>
      <c r="J43" s="84" t="n">
        <v>370</v>
      </c>
      <c r="K43" s="84" t="n">
        <v>7.11</v>
      </c>
      <c r="L43" s="84" t="n">
        <v>22466</v>
      </c>
      <c r="M43" s="93" t="s">
        <v>40</v>
      </c>
      <c r="N43" s="84" t="n">
        <v>3.7</v>
      </c>
      <c r="O43" s="59" t="n">
        <v>24906.7508245356</v>
      </c>
      <c r="P43" s="59" t="n">
        <v>16752.9263439031</v>
      </c>
      <c r="Q43" s="59" t="n">
        <v>21772971.4765057</v>
      </c>
      <c r="AE43" s="95" t="n">
        <f aca="false">O43/Q43</f>
        <v>0.00114392979623435</v>
      </c>
      <c r="AF43" s="95" t="n">
        <f aca="false">P43/Q43</f>
        <v>0.000769436838787965</v>
      </c>
    </row>
    <row r="44" customFormat="false" ht="14.25" hidden="false" customHeight="false" outlineLevel="0" collapsed="false">
      <c r="A44" s="0" t="s">
        <v>29</v>
      </c>
      <c r="B44" s="81" t="n">
        <v>44662</v>
      </c>
      <c r="C44" s="90" t="s">
        <v>30</v>
      </c>
      <c r="D44" s="82" t="n">
        <v>44663</v>
      </c>
      <c r="E44" s="91" t="s">
        <v>35</v>
      </c>
      <c r="F44" s="91" t="s">
        <v>36</v>
      </c>
      <c r="G44" s="92" t="n">
        <v>0.333333333333333</v>
      </c>
      <c r="H44" s="93" t="n">
        <v>12</v>
      </c>
      <c r="I44" s="84" t="n">
        <v>13.8</v>
      </c>
      <c r="J44" s="84" t="n">
        <v>570</v>
      </c>
      <c r="K44" s="84" t="n">
        <v>6.28</v>
      </c>
      <c r="L44" s="84" t="n">
        <v>24008</v>
      </c>
      <c r="M44" s="93" t="s">
        <v>41</v>
      </c>
      <c r="N44" s="84" t="n">
        <v>3.3</v>
      </c>
      <c r="O44" s="59" t="n">
        <v>10152.3274715255</v>
      </c>
      <c r="P44" s="59" t="n">
        <v>8814.53990946909</v>
      </c>
      <c r="Q44" s="59" t="n">
        <v>21232169.9823953</v>
      </c>
      <c r="AE44" s="95" t="n">
        <f aca="false">O44/Q44</f>
        <v>0.000478157789804027</v>
      </c>
      <c r="AF44" s="95" t="n">
        <f aca="false">P44/Q44</f>
        <v>0.000415150213886649</v>
      </c>
    </row>
    <row r="45" customFormat="false" ht="14.25" hidden="false" customHeight="false" outlineLevel="0" collapsed="false">
      <c r="A45" s="0" t="s">
        <v>29</v>
      </c>
      <c r="B45" s="81" t="n">
        <v>44664</v>
      </c>
      <c r="C45" s="90" t="s">
        <v>30</v>
      </c>
      <c r="D45" s="82" t="n">
        <v>44665</v>
      </c>
      <c r="E45" s="91" t="s">
        <v>35</v>
      </c>
      <c r="F45" s="91" t="s">
        <v>36</v>
      </c>
      <c r="G45" s="92" t="n">
        <v>0.333333333333333</v>
      </c>
      <c r="H45" s="93" t="n">
        <v>12</v>
      </c>
      <c r="I45" s="84" t="n">
        <v>15.1</v>
      </c>
      <c r="J45" s="84" t="n">
        <v>750</v>
      </c>
      <c r="K45" s="84" t="n">
        <v>7.12</v>
      </c>
      <c r="L45" s="84" t="n">
        <v>21818</v>
      </c>
      <c r="M45" s="93" t="s">
        <v>40</v>
      </c>
      <c r="N45" s="84" t="n">
        <v>6.7</v>
      </c>
      <c r="O45" s="59" t="n">
        <v>23488.9670945282</v>
      </c>
      <c r="P45" s="59" t="n">
        <v>20656.9323912404</v>
      </c>
      <c r="Q45" s="59" t="n">
        <v>30263374.3856521</v>
      </c>
      <c r="AE45" s="95" t="n">
        <f aca="false">O45/Q45</f>
        <v>0.000776151621270108</v>
      </c>
      <c r="AF45" s="95" t="n">
        <f aca="false">P45/Q45</f>
        <v>0.000682572013550275</v>
      </c>
    </row>
    <row r="46" customFormat="false" ht="14.25" hidden="false" customHeight="false" outlineLevel="0" collapsed="false">
      <c r="A46" s="0" t="s">
        <v>29</v>
      </c>
      <c r="B46" s="81" t="n">
        <v>44669</v>
      </c>
      <c r="C46" s="90" t="s">
        <v>30</v>
      </c>
      <c r="D46" s="82" t="n">
        <v>44670</v>
      </c>
      <c r="E46" s="91" t="s">
        <v>35</v>
      </c>
      <c r="F46" s="91" t="s">
        <v>36</v>
      </c>
      <c r="G46" s="92" t="n">
        <v>0.333333333333333</v>
      </c>
      <c r="H46" s="93" t="n">
        <v>10</v>
      </c>
      <c r="I46" s="84" t="n">
        <v>15.16</v>
      </c>
      <c r="J46" s="84" t="n">
        <v>670</v>
      </c>
      <c r="K46" s="84" t="n">
        <v>7</v>
      </c>
      <c r="L46" s="84" t="n">
        <v>17123</v>
      </c>
      <c r="M46" s="93" t="s">
        <v>41</v>
      </c>
      <c r="N46" s="84" t="n">
        <v>12.4</v>
      </c>
      <c r="O46" s="59" t="n">
        <v>5754.24255833863</v>
      </c>
      <c r="P46" s="59" t="n">
        <v>5718.52161316014</v>
      </c>
      <c r="Q46" s="59" t="n">
        <v>11235569.0788948</v>
      </c>
      <c r="AE46" s="95" t="n">
        <f aca="false">O46/Q46</f>
        <v>0.000512145180892311</v>
      </c>
      <c r="AF46" s="95" t="n">
        <f aca="false">P46/Q46</f>
        <v>0.000508965907557097</v>
      </c>
    </row>
    <row r="47" customFormat="false" ht="14.25" hidden="false" customHeight="false" outlineLevel="0" collapsed="false">
      <c r="A47" s="0" t="s">
        <v>29</v>
      </c>
      <c r="B47" s="81" t="n">
        <v>44671</v>
      </c>
      <c r="C47" s="90" t="s">
        <v>30</v>
      </c>
      <c r="D47" s="82" t="n">
        <v>44672</v>
      </c>
      <c r="E47" s="91" t="s">
        <v>35</v>
      </c>
      <c r="F47" s="91" t="s">
        <v>36</v>
      </c>
      <c r="G47" s="92" t="n">
        <v>0.333333333333333</v>
      </c>
      <c r="H47" s="93" t="n">
        <v>10</v>
      </c>
      <c r="I47" s="84" t="n">
        <v>15.78</v>
      </c>
      <c r="J47" s="84" t="n">
        <v>810</v>
      </c>
      <c r="K47" s="84" t="n">
        <v>7.04</v>
      </c>
      <c r="L47" s="84" t="n">
        <v>19250</v>
      </c>
      <c r="M47" s="93" t="s">
        <v>41</v>
      </c>
      <c r="N47" s="84" t="n">
        <v>6.8</v>
      </c>
      <c r="O47" s="59" t="n">
        <v>25460.2116504951</v>
      </c>
      <c r="P47" s="59" t="n">
        <v>28429.2658983623</v>
      </c>
      <c r="Q47" s="59" t="n">
        <v>40430011.23578</v>
      </c>
      <c r="S47" s="0" t="n">
        <v>641</v>
      </c>
      <c r="AE47" s="95" t="n">
        <f aca="false">O47/Q47</f>
        <v>0.000629735458197528</v>
      </c>
      <c r="AF47" s="95" t="n">
        <f aca="false">P47/Q47</f>
        <v>0.000703172347209311</v>
      </c>
    </row>
    <row r="48" customFormat="false" ht="14.25" hidden="false" customHeight="false" outlineLevel="0" collapsed="false">
      <c r="A48" s="0" t="s">
        <v>29</v>
      </c>
      <c r="B48" s="81" t="n">
        <v>44676</v>
      </c>
      <c r="C48" s="90" t="s">
        <v>30</v>
      </c>
      <c r="D48" s="82" t="n">
        <v>44677</v>
      </c>
      <c r="E48" s="91" t="s">
        <v>35</v>
      </c>
      <c r="F48" s="91" t="s">
        <v>36</v>
      </c>
      <c r="G48" s="92" t="n">
        <v>0.333333333333333</v>
      </c>
      <c r="H48" s="93" t="n">
        <v>12</v>
      </c>
      <c r="I48" s="84" t="n">
        <v>15.5</v>
      </c>
      <c r="J48" s="84" t="n">
        <v>710</v>
      </c>
      <c r="K48" s="84" t="n">
        <v>6.14</v>
      </c>
      <c r="L48" s="84" t="n">
        <v>26011</v>
      </c>
      <c r="M48" s="93" t="s">
        <v>40</v>
      </c>
      <c r="N48" s="84" t="n">
        <v>3.8</v>
      </c>
      <c r="O48" s="59" t="n">
        <v>5754.24255833863</v>
      </c>
      <c r="P48" s="59" t="n">
        <v>4070.38579657353</v>
      </c>
      <c r="Q48" s="59" t="n">
        <v>13698074.6764011</v>
      </c>
      <c r="R48" s="0" t="s">
        <v>43</v>
      </c>
      <c r="S48" s="0" t="n">
        <v>602</v>
      </c>
      <c r="AE48" s="95" t="n">
        <f aca="false">O48/Q48</f>
        <v>0.000420076740291976</v>
      </c>
      <c r="AF48" s="95" t="n">
        <f aca="false">P48/Q48</f>
        <v>0.000297150212181713</v>
      </c>
    </row>
    <row r="49" customFormat="false" ht="14.25" hidden="false" customHeight="false" outlineLevel="0" collapsed="false">
      <c r="A49" s="0" t="s">
        <v>29</v>
      </c>
      <c r="B49" s="81" t="n">
        <v>44678</v>
      </c>
      <c r="C49" s="90" t="s">
        <v>30</v>
      </c>
      <c r="D49" s="82" t="n">
        <v>44679</v>
      </c>
      <c r="E49" s="91" t="s">
        <v>35</v>
      </c>
      <c r="F49" s="91" t="s">
        <v>36</v>
      </c>
      <c r="G49" s="92" t="n">
        <v>0.333333333333333</v>
      </c>
      <c r="H49" s="93" t="n">
        <v>12</v>
      </c>
      <c r="I49" s="84" t="n">
        <v>15.39</v>
      </c>
      <c r="J49" s="84" t="n">
        <v>690</v>
      </c>
      <c r="K49" s="84" t="n">
        <v>7.46</v>
      </c>
      <c r="L49" s="84" t="n">
        <v>19805</v>
      </c>
      <c r="M49" s="93" t="s">
        <v>34</v>
      </c>
      <c r="N49" s="84" t="n">
        <v>4.4</v>
      </c>
      <c r="O49" s="59" t="n">
        <v>7573.55590562536</v>
      </c>
      <c r="P49" s="59" t="n">
        <v>3463.69759101506</v>
      </c>
      <c r="Q49" s="59" t="n">
        <v>13802879.6351484</v>
      </c>
      <c r="S49" s="0" t="n">
        <v>559</v>
      </c>
      <c r="AE49" s="95" t="n">
        <f aca="false">O49/Q49</f>
        <v>0.000548693903432994</v>
      </c>
      <c r="AF49" s="95" t="n">
        <f aca="false">P49/Q49</f>
        <v>0.000250940215561607</v>
      </c>
    </row>
    <row r="50" customFormat="false" ht="14.25" hidden="false" customHeight="false" outlineLevel="0" collapsed="false">
      <c r="A50" s="0" t="s">
        <v>29</v>
      </c>
      <c r="B50" s="81" t="n">
        <v>44683</v>
      </c>
      <c r="C50" s="90" t="s">
        <v>30</v>
      </c>
      <c r="D50" s="82" t="n">
        <v>44684</v>
      </c>
      <c r="E50" s="91" t="s">
        <v>35</v>
      </c>
      <c r="F50" s="91" t="s">
        <v>36</v>
      </c>
      <c r="G50" s="92" t="n">
        <v>0.333333333333333</v>
      </c>
      <c r="H50" s="93" t="n">
        <v>12</v>
      </c>
      <c r="I50" s="84" t="n">
        <v>16.2</v>
      </c>
      <c r="J50" s="84" t="n">
        <v>935</v>
      </c>
      <c r="K50" s="84" t="n">
        <v>7.07</v>
      </c>
      <c r="L50" s="84" t="n">
        <v>18755</v>
      </c>
      <c r="M50" s="93" t="s">
        <v>34</v>
      </c>
      <c r="N50" s="84" t="n">
        <v>25.2</v>
      </c>
      <c r="O50" s="59" t="n">
        <v>5754.24255833863</v>
      </c>
      <c r="P50" s="59" t="n">
        <v>3463.69759101506</v>
      </c>
      <c r="Q50" s="59" t="n">
        <v>1289752.59136509</v>
      </c>
      <c r="R50" s="0" t="s">
        <v>44</v>
      </c>
      <c r="S50" s="0" t="n">
        <v>493.4</v>
      </c>
      <c r="AE50" s="95" t="n">
        <f aca="false">O50/Q50</f>
        <v>0.00446150881716647</v>
      </c>
      <c r="AF50" s="95" t="n">
        <f aca="false">P50/Q50</f>
        <v>0.00268555195330064</v>
      </c>
    </row>
    <row r="51" customFormat="false" ht="14.25" hidden="false" customHeight="false" outlineLevel="0" collapsed="false">
      <c r="A51" s="0" t="s">
        <v>29</v>
      </c>
      <c r="B51" s="81" t="n">
        <v>44685</v>
      </c>
      <c r="C51" s="90" t="s">
        <v>30</v>
      </c>
      <c r="D51" s="82" t="n">
        <v>44686</v>
      </c>
      <c r="E51" s="91" t="s">
        <v>35</v>
      </c>
      <c r="F51" s="91" t="s">
        <v>36</v>
      </c>
      <c r="G51" s="92" t="n">
        <v>0.333333333333333</v>
      </c>
      <c r="H51" s="93" t="n">
        <v>12</v>
      </c>
      <c r="I51" s="84" t="n">
        <v>16.3</v>
      </c>
      <c r="J51" s="84" t="n">
        <v>8104</v>
      </c>
      <c r="K51" s="84" t="n">
        <v>5.89</v>
      </c>
      <c r="L51" s="84" t="n">
        <v>19311</v>
      </c>
      <c r="M51" s="93" t="s">
        <v>41</v>
      </c>
      <c r="N51" s="84" t="n">
        <v>36.6</v>
      </c>
      <c r="O51" s="59" t="n">
        <v>5754.24255833863</v>
      </c>
      <c r="P51" s="59" t="n">
        <v>3463.69759101506</v>
      </c>
      <c r="Q51" s="59" t="n">
        <v>6176559.40558567</v>
      </c>
      <c r="R51" s="0" t="s">
        <v>44</v>
      </c>
      <c r="S51" s="0" t="n">
        <v>386.6</v>
      </c>
      <c r="AE51" s="95" t="n">
        <f aca="false">O51/Q51</f>
        <v>0.000931625874614737</v>
      </c>
      <c r="AF51" s="95" t="n">
        <f aca="false">P51/Q51</f>
        <v>0.000560781069778545</v>
      </c>
    </row>
    <row r="52" customFormat="false" ht="14.25" hidden="false" customHeight="false" outlineLevel="0" collapsed="false">
      <c r="A52" s="0" t="s">
        <v>29</v>
      </c>
      <c r="B52" s="81" t="n">
        <v>44690</v>
      </c>
      <c r="C52" s="90" t="s">
        <v>30</v>
      </c>
      <c r="D52" s="82" t="n">
        <v>44691</v>
      </c>
      <c r="E52" s="91" t="s">
        <v>35</v>
      </c>
      <c r="F52" s="91" t="s">
        <v>36</v>
      </c>
      <c r="G52" s="92" t="n">
        <v>0.333333333333333</v>
      </c>
      <c r="H52" s="93" t="n">
        <v>12</v>
      </c>
      <c r="I52" s="84" t="n">
        <v>17.03</v>
      </c>
      <c r="J52" s="84" t="n">
        <v>800</v>
      </c>
      <c r="K52" s="84" t="n">
        <v>7.01</v>
      </c>
      <c r="L52" s="84" t="n">
        <v>19577</v>
      </c>
      <c r="M52" s="93" t="s">
        <v>41</v>
      </c>
      <c r="N52" s="84" t="n">
        <v>13.6</v>
      </c>
      <c r="O52" s="95"/>
      <c r="P52" s="95"/>
      <c r="Q52" s="95"/>
      <c r="AE52" s="95"/>
      <c r="AF52" s="95"/>
    </row>
    <row r="53" customFormat="false" ht="14.25" hidden="false" customHeight="false" outlineLevel="0" collapsed="false">
      <c r="A53" s="0" t="s">
        <v>29</v>
      </c>
      <c r="B53" s="81" t="n">
        <v>44692</v>
      </c>
      <c r="C53" s="90" t="s">
        <v>30</v>
      </c>
      <c r="D53" s="82" t="n">
        <v>44693</v>
      </c>
      <c r="E53" s="91" t="s">
        <v>35</v>
      </c>
      <c r="F53" s="91" t="s">
        <v>36</v>
      </c>
      <c r="G53" s="92" t="n">
        <v>0.333333333333333</v>
      </c>
      <c r="H53" s="93" t="s">
        <v>49</v>
      </c>
      <c r="I53" s="84" t="n">
        <v>16.88</v>
      </c>
      <c r="J53" s="84" t="n">
        <v>860</v>
      </c>
      <c r="K53" s="84" t="n">
        <v>6.92</v>
      </c>
      <c r="L53" s="84" t="n">
        <v>19127</v>
      </c>
      <c r="M53" s="93" t="s">
        <v>41</v>
      </c>
      <c r="N53" s="93" t="s">
        <v>50</v>
      </c>
      <c r="O53" s="95"/>
      <c r="P53" s="95"/>
      <c r="Q53" s="95"/>
      <c r="R53" s="0" t="s">
        <v>51</v>
      </c>
      <c r="AE53" s="95"/>
      <c r="AF53" s="95"/>
    </row>
    <row r="54" customFormat="false" ht="14.25" hidden="false" customHeight="false" outlineLevel="0" collapsed="false">
      <c r="A54" s="0" t="s">
        <v>29</v>
      </c>
      <c r="B54" s="81" t="n">
        <v>44697</v>
      </c>
      <c r="C54" s="90" t="s">
        <v>30</v>
      </c>
      <c r="D54" s="82" t="n">
        <v>44698</v>
      </c>
      <c r="E54" s="91" t="s">
        <v>35</v>
      </c>
      <c r="F54" s="91" t="s">
        <v>36</v>
      </c>
      <c r="G54" s="92" t="n">
        <v>0.333333333333333</v>
      </c>
      <c r="H54" s="93" t="n">
        <v>12</v>
      </c>
      <c r="I54" s="84" t="n">
        <v>17.71</v>
      </c>
      <c r="J54" s="84" t="n">
        <v>630</v>
      </c>
      <c r="K54" s="84" t="n">
        <v>6.88</v>
      </c>
      <c r="L54" s="84" t="n">
        <v>42720</v>
      </c>
      <c r="M54" s="93" t="s">
        <v>52</v>
      </c>
      <c r="N54" s="84" t="n">
        <v>4.4</v>
      </c>
      <c r="O54" s="95"/>
      <c r="P54" s="95"/>
      <c r="Q54" s="95"/>
      <c r="S54" s="0" t="n">
        <v>290.4</v>
      </c>
      <c r="AE54" s="95"/>
      <c r="AF54" s="95"/>
    </row>
    <row r="55" customFormat="false" ht="14.25" hidden="false" customHeight="false" outlineLevel="0" collapsed="false">
      <c r="A55" s="0" t="s">
        <v>29</v>
      </c>
      <c r="B55" s="81" t="n">
        <v>44699</v>
      </c>
      <c r="C55" s="90" t="s">
        <v>30</v>
      </c>
      <c r="D55" s="82" t="n">
        <v>44700</v>
      </c>
      <c r="E55" s="91" t="s">
        <v>35</v>
      </c>
      <c r="F55" s="91" t="s">
        <v>36</v>
      </c>
      <c r="G55" s="92" t="n">
        <v>0.333333333333333</v>
      </c>
      <c r="H55" s="93" t="n">
        <v>10</v>
      </c>
      <c r="I55" s="84" t="n">
        <v>17.83</v>
      </c>
      <c r="J55" s="84" t="n">
        <v>680</v>
      </c>
      <c r="K55" s="84" t="n">
        <v>7.21</v>
      </c>
      <c r="L55" s="84" t="n">
        <v>19474</v>
      </c>
      <c r="M55" s="93" t="s">
        <v>34</v>
      </c>
      <c r="N55" s="84" t="n">
        <v>9.9</v>
      </c>
      <c r="O55" s="95"/>
      <c r="P55" s="95"/>
      <c r="Q55" s="95"/>
      <c r="S55" s="0" t="n">
        <v>273.2</v>
      </c>
      <c r="AE55" s="95"/>
      <c r="AF55" s="95"/>
    </row>
    <row r="56" customFormat="false" ht="14.25" hidden="false" customHeight="false" outlineLevel="0" collapsed="false">
      <c r="A56" s="0" t="s">
        <v>29</v>
      </c>
      <c r="B56" s="81" t="n">
        <v>44704</v>
      </c>
      <c r="C56" s="90" t="s">
        <v>30</v>
      </c>
      <c r="D56" s="82" t="n">
        <v>44705</v>
      </c>
      <c r="E56" s="91" t="s">
        <v>35</v>
      </c>
      <c r="F56" s="91" t="s">
        <v>36</v>
      </c>
      <c r="G56" s="92" t="n">
        <v>0.333333333333333</v>
      </c>
      <c r="H56" s="93" t="n">
        <v>12</v>
      </c>
      <c r="I56" s="84" t="n">
        <v>16.6</v>
      </c>
      <c r="J56" s="84" t="n">
        <v>100</v>
      </c>
      <c r="K56" s="84" t="n">
        <v>6.94</v>
      </c>
      <c r="L56" s="84" t="n">
        <v>64481</v>
      </c>
      <c r="M56" s="93" t="s">
        <v>53</v>
      </c>
      <c r="N56" s="84" t="n">
        <v>3.3</v>
      </c>
      <c r="O56" s="95"/>
      <c r="P56" s="95"/>
      <c r="Q56" s="95"/>
      <c r="S56" s="0" t="n">
        <v>192.1</v>
      </c>
      <c r="AE56" s="95"/>
      <c r="AF56" s="95"/>
    </row>
    <row r="57" customFormat="false" ht="14.25" hidden="false" customHeight="false" outlineLevel="0" collapsed="false">
      <c r="A57" s="0" t="s">
        <v>29</v>
      </c>
      <c r="B57" s="81" t="n">
        <v>44705</v>
      </c>
      <c r="C57" s="90" t="s">
        <v>30</v>
      </c>
      <c r="D57" s="82" t="n">
        <v>44706</v>
      </c>
      <c r="E57" s="91" t="s">
        <v>35</v>
      </c>
      <c r="F57" s="91" t="s">
        <v>36</v>
      </c>
      <c r="G57" s="92" t="n">
        <v>0.333333333333333</v>
      </c>
      <c r="H57" s="93" t="n">
        <v>12</v>
      </c>
      <c r="I57" s="84" t="n">
        <v>17.6</v>
      </c>
      <c r="J57" s="84" t="n">
        <v>550</v>
      </c>
      <c r="K57" s="84" t="n">
        <v>6.63</v>
      </c>
      <c r="L57" s="84" t="n">
        <v>57872</v>
      </c>
      <c r="M57" s="93" t="s">
        <v>34</v>
      </c>
      <c r="N57" s="84" t="n">
        <v>7.8</v>
      </c>
      <c r="O57" s="95"/>
      <c r="P57" s="95"/>
      <c r="Q57" s="95"/>
      <c r="AE57" s="95"/>
      <c r="AF57" s="95"/>
    </row>
    <row r="58" customFormat="false" ht="14.25" hidden="false" customHeight="false" outlineLevel="0" collapsed="false">
      <c r="A58" s="0" t="s">
        <v>29</v>
      </c>
      <c r="B58" s="81" t="n">
        <v>44711</v>
      </c>
      <c r="C58" s="90" t="s">
        <v>30</v>
      </c>
      <c r="D58" s="82" t="n">
        <v>44712</v>
      </c>
      <c r="E58" s="91" t="s">
        <v>35</v>
      </c>
      <c r="F58" s="91" t="s">
        <v>36</v>
      </c>
      <c r="G58" s="92" t="n">
        <v>0.333333333333333</v>
      </c>
      <c r="H58" s="93" t="n">
        <v>12</v>
      </c>
      <c r="I58" s="84" t="n">
        <v>17.49</v>
      </c>
      <c r="J58" s="84" t="n">
        <v>710</v>
      </c>
      <c r="K58" s="84" t="n">
        <v>7.21</v>
      </c>
      <c r="L58" s="84" t="n">
        <v>21276</v>
      </c>
      <c r="M58" s="93" t="s">
        <v>40</v>
      </c>
      <c r="N58" s="84" t="n">
        <v>18.2</v>
      </c>
      <c r="O58" s="95"/>
      <c r="P58" s="95"/>
      <c r="Q58" s="95"/>
      <c r="S58" s="0" t="n">
        <v>147.3</v>
      </c>
      <c r="AE58" s="95"/>
      <c r="AF58" s="95"/>
    </row>
    <row r="59" customFormat="false" ht="14.25" hidden="false" customHeight="false" outlineLevel="0" collapsed="false">
      <c r="A59" s="0" t="s">
        <v>29</v>
      </c>
      <c r="B59" s="81" t="n">
        <v>44713</v>
      </c>
      <c r="C59" s="90" t="s">
        <v>30</v>
      </c>
      <c r="D59" s="82" t="n">
        <v>44714</v>
      </c>
      <c r="E59" s="91" t="s">
        <v>35</v>
      </c>
      <c r="F59" s="91" t="s">
        <v>36</v>
      </c>
      <c r="G59" s="92" t="n">
        <v>0.333333333333333</v>
      </c>
      <c r="H59" s="93" t="n">
        <v>12</v>
      </c>
      <c r="I59" s="84" t="n">
        <v>17.86</v>
      </c>
      <c r="J59" s="84" t="n">
        <v>840</v>
      </c>
      <c r="K59" s="84" t="n">
        <v>6.91</v>
      </c>
      <c r="L59" s="84" t="n">
        <v>21169</v>
      </c>
      <c r="M59" s="93" t="s">
        <v>34</v>
      </c>
      <c r="N59" s="84" t="n">
        <v>12.1</v>
      </c>
      <c r="O59" s="95"/>
      <c r="P59" s="95"/>
      <c r="Q59" s="95"/>
      <c r="S59" s="0" t="n">
        <v>164.6</v>
      </c>
      <c r="AE59" s="95"/>
      <c r="AF59" s="95"/>
    </row>
    <row r="60" customFormat="false" ht="14.25" hidden="false" customHeight="false" outlineLevel="0" collapsed="false">
      <c r="A60" s="0" t="s">
        <v>29</v>
      </c>
      <c r="B60" s="81" t="n">
        <v>44718</v>
      </c>
      <c r="C60" s="90" t="s">
        <v>30</v>
      </c>
      <c r="D60" s="82" t="n">
        <v>44719</v>
      </c>
      <c r="E60" s="91" t="s">
        <v>35</v>
      </c>
      <c r="F60" s="91" t="s">
        <v>36</v>
      </c>
      <c r="G60" s="92" t="n">
        <v>0.333333333333333</v>
      </c>
      <c r="H60" s="93" t="n">
        <v>12</v>
      </c>
      <c r="I60" s="84" t="n">
        <v>18.72</v>
      </c>
      <c r="J60" s="84" t="n">
        <v>920</v>
      </c>
      <c r="K60" s="84" t="n">
        <v>6.44</v>
      </c>
      <c r="L60" s="84" t="n">
        <v>21370</v>
      </c>
      <c r="M60" s="93" t="s">
        <v>40</v>
      </c>
      <c r="N60" s="84" t="n">
        <v>5.7</v>
      </c>
      <c r="O60" s="95"/>
      <c r="P60" s="95"/>
      <c r="Q60" s="95"/>
      <c r="S60" s="0" t="n">
        <v>147.6</v>
      </c>
      <c r="AE60" s="95"/>
      <c r="AF60" s="95"/>
    </row>
    <row r="61" customFormat="false" ht="14.25" hidden="false" customHeight="false" outlineLevel="0" collapsed="false">
      <c r="A61" s="0" t="s">
        <v>29</v>
      </c>
      <c r="B61" s="81" t="n">
        <v>44720</v>
      </c>
      <c r="C61" s="90" t="s">
        <v>30</v>
      </c>
      <c r="D61" s="82" t="n">
        <v>44721</v>
      </c>
      <c r="E61" s="91" t="s">
        <v>35</v>
      </c>
      <c r="F61" s="91" t="s">
        <v>36</v>
      </c>
      <c r="G61" s="92" t="n">
        <v>0.333333333333333</v>
      </c>
      <c r="H61" s="93" t="n">
        <v>12</v>
      </c>
      <c r="I61" s="84" t="n">
        <v>16.75</v>
      </c>
      <c r="J61" s="84" t="n">
        <v>120</v>
      </c>
      <c r="K61" s="84" t="n">
        <v>6.93</v>
      </c>
      <c r="L61" s="84" t="n">
        <v>56045</v>
      </c>
      <c r="M61" s="93" t="s">
        <v>40</v>
      </c>
      <c r="O61" s="95"/>
      <c r="P61" s="95"/>
      <c r="Q61" s="95"/>
      <c r="S61" s="0" t="n">
        <v>240.2</v>
      </c>
      <c r="AE61" s="95"/>
      <c r="AF61" s="95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2022-03-01T11:56:41Z</dcterms:created>
  <dc:creator>Elisa Ravaro</dc:creator>
  <dc:description/>
  <dc:language>en-US</dc:language>
  <cp:lastModifiedBy>Nina Schmid</cp:lastModifiedBy>
  <dcterms:modified xsi:type="dcterms:W3CDTF">2023-12-06T17:32:45Z</dcterms:modified>
  <cp:revision>197</cp:revision>
  <dc:subject/>
  <dc:title/>
</cp:coreProperties>
</file>